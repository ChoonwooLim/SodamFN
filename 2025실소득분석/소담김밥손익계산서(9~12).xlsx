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72" yWindow="1140" windowWidth="61656" windowHeight="17496" tabRatio="600" firstSheet="0" activeTab="0" autoFilterDateGrouping="1"/>
  </bookViews>
  <sheets>
    <sheet name="종합" sheetId="1" state="visible" r:id="rId1"/>
    <sheet name="쿠팡인출내역" sheetId="2" state="visible" r:id="rId2"/>
    <sheet name="7월비용" sheetId="3" state="visible" r:id="rId3"/>
    <sheet name="8월비용" sheetId="4" state="visible" r:id="rId4"/>
    <sheet name="9월비용" sheetId="5" state="visible" r:id="rId5"/>
    <sheet name="10월비용" sheetId="6" state="visible" r:id="rId6"/>
    <sheet name="11월비용" sheetId="7" state="visible" r:id="rId7"/>
    <sheet name="12월비용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_-;\-* #,##0_-;_-* &quot;-&quot;??_-;_-@_-"/>
  </numFmts>
  <fonts count="14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theme="0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2"/>
      <scheme val="minor"/>
    </font>
    <font>
      <name val="맑은 고딕"/>
      <family val="2"/>
      <color theme="1"/>
      <sz val="18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0"/>
      <sz val="16"/>
      <scheme val="minor"/>
    </font>
    <font>
      <name val="맑은 고딕"/>
      <charset val="129"/>
      <family val="3"/>
      <color theme="0"/>
      <sz val="16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1" fontId="1" fillId="0" borderId="0" applyAlignment="1">
      <alignment vertical="center"/>
    </xf>
  </cellStyleXfs>
  <cellXfs count="2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1"/>
    </xf>
    <xf numFmtId="164" fontId="9" fillId="8" borderId="1" applyAlignment="1" pivotButton="0" quotePrefix="0" xfId="1">
      <alignment horizontal="left" vertical="center" indent="1"/>
    </xf>
    <xf numFmtId="164" fontId="0" fillId="0" borderId="1" applyAlignment="1" pivotButton="0" quotePrefix="0" xfId="1">
      <alignment horizontal="left" vertical="center" indent="1"/>
    </xf>
    <xf numFmtId="164" fontId="0" fillId="0" borderId="0" applyAlignment="1" pivotButton="0" quotePrefix="0" xfId="1">
      <alignment horizontal="left" vertical="center" indent="1"/>
    </xf>
    <xf numFmtId="164" fontId="9" fillId="8" borderId="2" applyAlignment="1" pivotButton="0" quotePrefix="0" xfId="1">
      <alignment horizontal="left" vertical="center" indent="1"/>
    </xf>
    <xf numFmtId="164" fontId="0" fillId="0" borderId="2" applyAlignment="1" pivotButton="0" quotePrefix="0" xfId="1">
      <alignment horizontal="left" vertical="center" indent="1"/>
    </xf>
    <xf numFmtId="0" fontId="3" fillId="3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left" vertical="center" indent="1"/>
    </xf>
    <xf numFmtId="0" fontId="5" fillId="5" borderId="27" applyAlignment="1" pivotButton="0" quotePrefix="0" xfId="0">
      <alignment horizontal="center" vertical="center"/>
    </xf>
    <xf numFmtId="164" fontId="5" fillId="5" borderId="19" applyAlignment="1" pivotButton="0" quotePrefix="0" xfId="1">
      <alignment horizontal="left" vertical="center" indent="1"/>
    </xf>
    <xf numFmtId="164" fontId="0" fillId="0" borderId="7" applyAlignment="1" pivotButton="0" quotePrefix="0" xfId="1">
      <alignment horizontal="left" vertical="center" indent="1"/>
    </xf>
    <xf numFmtId="164" fontId="0" fillId="0" borderId="18" applyAlignment="1" pivotButton="0" quotePrefix="0" xfId="1">
      <alignment horizontal="left" vertical="center" indent="1"/>
    </xf>
    <xf numFmtId="0" fontId="0" fillId="0" borderId="24" applyAlignment="1" pivotButton="0" quotePrefix="0" xfId="0">
      <alignment horizontal="left" vertical="center" indent="1"/>
    </xf>
    <xf numFmtId="164" fontId="9" fillId="8" borderId="28" applyAlignment="1" pivotButton="0" quotePrefix="0" xfId="1">
      <alignment horizontal="left" vertical="center" indent="1"/>
    </xf>
    <xf numFmtId="164" fontId="0" fillId="0" borderId="28" applyAlignment="1" pivotButton="0" quotePrefix="0" xfId="1">
      <alignment horizontal="left" vertical="center" indent="1"/>
    </xf>
    <xf numFmtId="164" fontId="5" fillId="5" borderId="29" applyAlignment="1" pivotButton="0" quotePrefix="0" xfId="1">
      <alignment horizontal="left" vertical="center" indent="1"/>
    </xf>
    <xf numFmtId="164" fontId="0" fillId="0" borderId="30" applyAlignment="1" pivotButton="0" quotePrefix="0" xfId="1">
      <alignment horizontal="left" vertical="center" indent="1"/>
    </xf>
    <xf numFmtId="0" fontId="4" fillId="3" borderId="24" applyAlignment="1" pivotButton="0" quotePrefix="0" xfId="0">
      <alignment horizontal="center" vertical="center"/>
    </xf>
    <xf numFmtId="164" fontId="8" fillId="5" borderId="25" applyAlignment="1" pivotButton="0" quotePrefix="0" xfId="1">
      <alignment horizontal="left" vertical="center" indent="1"/>
    </xf>
    <xf numFmtId="164" fontId="0" fillId="5" borderId="24" applyAlignment="1" pivotButton="0" quotePrefix="0" xfId="0">
      <alignment horizontal="left" vertical="center" indent="1"/>
    </xf>
    <xf numFmtId="164" fontId="0" fillId="5" borderId="25" applyAlignment="1" pivotButton="0" quotePrefix="0" xfId="0">
      <alignment horizontal="left" vertical="center" indent="1"/>
    </xf>
    <xf numFmtId="164" fontId="5" fillId="9" borderId="26" applyAlignment="1" pivotButton="0" quotePrefix="0" xfId="0">
      <alignment horizontal="left" vertical="center" indent="1"/>
    </xf>
    <xf numFmtId="0" fontId="5" fillId="5" borderId="26" applyAlignment="1" pivotButton="0" quotePrefix="0" xfId="0">
      <alignment horizontal="left" vertical="center" indent="1"/>
    </xf>
    <xf numFmtId="164" fontId="5" fillId="5" borderId="31" applyAlignment="1" pivotButton="0" quotePrefix="0" xfId="1">
      <alignment horizontal="left" vertical="center" indent="1"/>
    </xf>
    <xf numFmtId="0" fontId="0" fillId="5" borderId="25" applyAlignment="1" pivotButton="0" quotePrefix="0" xfId="0">
      <alignment horizontal="left" vertical="center" indent="1"/>
    </xf>
    <xf numFmtId="164" fontId="0" fillId="5" borderId="27" applyAlignment="1" pivotButton="0" quotePrefix="0" xfId="0">
      <alignment horizontal="left" vertical="center" indent="1"/>
    </xf>
    <xf numFmtId="164" fontId="0" fillId="5" borderId="32" applyAlignment="1" pivotButton="0" quotePrefix="0" xfId="0">
      <alignment horizontal="left" vertical="center" indent="1"/>
    </xf>
    <xf numFmtId="164" fontId="8" fillId="5" borderId="27" applyAlignment="1" pivotButton="0" quotePrefix="0" xfId="1">
      <alignment horizontal="left" vertical="center" indent="1"/>
    </xf>
    <xf numFmtId="164" fontId="6" fillId="9" borderId="5" applyAlignment="1" pivotButton="0" quotePrefix="0" xfId="1">
      <alignment horizontal="left" vertical="center" indent="1"/>
    </xf>
    <xf numFmtId="164" fontId="5" fillId="9" borderId="5" applyAlignment="1" pivotButton="0" quotePrefix="0" xfId="0">
      <alignment horizontal="left" vertical="center" indent="1"/>
    </xf>
    <xf numFmtId="164" fontId="5" fillId="2" borderId="16" applyAlignment="1" pivotButton="0" quotePrefix="0" xfId="1">
      <alignment horizontal="left" vertical="center" indent="1"/>
    </xf>
    <xf numFmtId="164" fontId="0" fillId="0" borderId="33" applyAlignment="1" pivotButton="0" quotePrefix="0" xfId="1">
      <alignment horizontal="left" vertical="center" indent="1"/>
    </xf>
    <xf numFmtId="164" fontId="5" fillId="5" borderId="3" applyAlignment="1" pivotButton="0" quotePrefix="0" xfId="1">
      <alignment horizontal="center" vertical="center"/>
    </xf>
    <xf numFmtId="164" fontId="0" fillId="0" borderId="39" applyAlignment="1" pivotButton="0" quotePrefix="0" xfId="1">
      <alignment horizontal="left" vertical="center" indent="1"/>
    </xf>
    <xf numFmtId="164" fontId="5" fillId="4" borderId="11" applyAlignment="1" pivotButton="0" quotePrefix="0" xfId="1">
      <alignment horizontal="center" vertical="center"/>
    </xf>
    <xf numFmtId="164" fontId="0" fillId="0" borderId="45" applyAlignment="1" pivotButton="0" quotePrefix="0" xfId="1">
      <alignment horizontal="left" vertical="center" indent="1"/>
    </xf>
    <xf numFmtId="164" fontId="5" fillId="4" borderId="31" applyAlignment="1" pivotButton="0" quotePrefix="0" xfId="1">
      <alignment horizontal="center" vertical="center"/>
    </xf>
    <xf numFmtId="164" fontId="0" fillId="0" borderId="23" applyAlignment="1" pivotButton="0" quotePrefix="0" xfId="1">
      <alignment horizontal="left" vertical="center" indent="1"/>
    </xf>
    <xf numFmtId="164" fontId="5" fillId="5" borderId="4" applyAlignment="1" pivotButton="0" quotePrefix="0" xfId="1">
      <alignment horizontal="center" vertical="center"/>
    </xf>
    <xf numFmtId="164" fontId="5" fillId="2" borderId="44" applyAlignment="1" pivotButton="0" quotePrefix="0" xfId="1">
      <alignment horizontal="left" vertical="center" indent="1"/>
    </xf>
    <xf numFmtId="0" fontId="3" fillId="7" borderId="35" applyAlignment="1" pivotButton="0" quotePrefix="0" xfId="0">
      <alignment horizontal="center" vertical="center"/>
    </xf>
    <xf numFmtId="164" fontId="3" fillId="7" borderId="16" applyAlignment="1" pivotButton="0" quotePrefix="0" xfId="1">
      <alignment horizontal="left" vertical="center" indent="1"/>
    </xf>
    <xf numFmtId="164" fontId="4" fillId="7" borderId="16" applyAlignment="1" pivotButton="0" quotePrefix="0" xfId="1">
      <alignment horizontal="left" vertical="center" indent="1"/>
    </xf>
    <xf numFmtId="164" fontId="4" fillId="7" borderId="44" applyAlignment="1" pivotButton="0" quotePrefix="0" xfId="1">
      <alignment horizontal="left" vertical="center" indent="1"/>
    </xf>
    <xf numFmtId="164" fontId="3" fillId="7" borderId="21" applyAlignment="1" pivotButton="0" quotePrefix="0" xfId="1">
      <alignment horizontal="left" vertical="center" indent="1"/>
    </xf>
    <xf numFmtId="164" fontId="0" fillId="0" borderId="12" applyAlignment="1" pivotButton="0" quotePrefix="0" xfId="1">
      <alignment horizontal="left" vertical="center" indent="1"/>
    </xf>
    <xf numFmtId="164" fontId="5" fillId="4" borderId="20" applyAlignment="1" pivotButton="0" quotePrefix="0" xfId="1">
      <alignment horizontal="center" vertical="center"/>
    </xf>
    <xf numFmtId="164" fontId="5" fillId="5" borderId="19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4" fontId="5" fillId="2" borderId="35" applyAlignment="1" pivotButton="0" quotePrefix="0" xfId="1">
      <alignment horizontal="left" vertical="center" indent="1"/>
    </xf>
    <xf numFmtId="165" fontId="5" fillId="11" borderId="27" applyAlignment="1" pivotButton="0" quotePrefix="0" xfId="0">
      <alignment horizontal="left" vertical="center" indent="1"/>
    </xf>
    <xf numFmtId="0" fontId="10" fillId="10" borderId="24" applyAlignment="1" pivotButton="0" quotePrefix="0" xfId="0">
      <alignment horizontal="left" vertical="center" indent="1"/>
    </xf>
    <xf numFmtId="165" fontId="5" fillId="0" borderId="25" applyAlignment="1" pivotButton="0" quotePrefix="0" xfId="0">
      <alignment horizontal="left" vertical="center" indent="1"/>
    </xf>
    <xf numFmtId="165" fontId="5" fillId="0" borderId="24" applyAlignment="1" pivotButton="0" quotePrefix="0" xfId="0">
      <alignment horizontal="left" vertical="center" indent="1"/>
    </xf>
    <xf numFmtId="164" fontId="10" fillId="7" borderId="35" applyAlignment="1" pivotButton="0" quotePrefix="0" xfId="1">
      <alignment horizontal="left" vertical="center" indent="1"/>
    </xf>
    <xf numFmtId="164" fontId="5" fillId="14" borderId="49" applyAlignment="1" pivotButton="0" quotePrefix="0" xfId="1">
      <alignment horizontal="left" vertical="center" indent="1"/>
    </xf>
    <xf numFmtId="164" fontId="5" fillId="14" borderId="50" applyAlignment="1" pivotButton="0" quotePrefix="0" xfId="1">
      <alignment horizontal="left" vertical="center" indent="1"/>
    </xf>
    <xf numFmtId="164" fontId="5" fillId="15" borderId="51" applyAlignment="1" pivotButton="0" quotePrefix="0" xfId="1">
      <alignment horizontal="left" vertical="center" indent="1"/>
    </xf>
    <xf numFmtId="164" fontId="5" fillId="13" borderId="52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0" fillId="0" borderId="8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0" fontId="0" fillId="0" borderId="3" applyAlignment="1" pivotButton="0" quotePrefix="0" xfId="0">
      <alignment horizontal="center" vertical="center"/>
    </xf>
    <xf numFmtId="164" fontId="0" fillId="0" borderId="14" applyAlignment="1" pivotButton="0" quotePrefix="0" xfId="1">
      <alignment vertical="center"/>
    </xf>
    <xf numFmtId="164" fontId="5" fillId="9" borderId="17" applyAlignment="1" pivotButton="0" quotePrefix="0" xfId="1">
      <alignment vertical="center"/>
    </xf>
    <xf numFmtId="165" fontId="11" fillId="9" borderId="24" applyAlignment="1" pivotButton="0" quotePrefix="0" xfId="0">
      <alignment horizontal="left" vertical="center" indent="1"/>
    </xf>
    <xf numFmtId="165" fontId="11" fillId="9" borderId="26" applyAlignment="1" pivotButton="0" quotePrefix="0" xfId="0">
      <alignment horizontal="left" vertical="center" indent="1"/>
    </xf>
    <xf numFmtId="164" fontId="5" fillId="0" borderId="41" applyAlignment="1" pivotButton="0" quotePrefix="0" xfId="1">
      <alignment horizontal="center" vertical="center"/>
    </xf>
    <xf numFmtId="164" fontId="5" fillId="0" borderId="43" applyAlignment="1" pivotButton="0" quotePrefix="0" xfId="1">
      <alignment horizontal="center" vertical="center"/>
    </xf>
    <xf numFmtId="0" fontId="5" fillId="18" borderId="0" applyAlignment="1" pivotButton="0" quotePrefix="0" xfId="0">
      <alignment horizontal="center" vertical="center"/>
    </xf>
    <xf numFmtId="164" fontId="5" fillId="18" borderId="0" applyAlignment="1" pivotButton="0" quotePrefix="0" xfId="1">
      <alignment horizontal="center" vertical="center"/>
    </xf>
    <xf numFmtId="164" fontId="5" fillId="18" borderId="0" applyAlignment="1" pivotButton="0" quotePrefix="0" xfId="1">
      <alignment horizontal="left" vertical="center" indent="1"/>
    </xf>
    <xf numFmtId="165" fontId="11" fillId="18" borderId="0" applyAlignment="1" pivotButton="0" quotePrefix="0" xfId="0">
      <alignment horizontal="left" vertical="center" indent="1"/>
    </xf>
    <xf numFmtId="9" fontId="5" fillId="0" borderId="30" applyAlignment="1" pivotButton="0" quotePrefix="0" xfId="1">
      <alignment horizontal="center" vertical="center"/>
    </xf>
    <xf numFmtId="9" fontId="5" fillId="0" borderId="31" applyAlignment="1" pivotButton="0" quotePrefix="0" xfId="1">
      <alignment horizontal="center" vertical="center"/>
    </xf>
    <xf numFmtId="165" fontId="5" fillId="13" borderId="27" applyAlignment="1" pivotButton="0" quotePrefix="0" xfId="0">
      <alignment horizontal="left" vertical="center" indent="1"/>
    </xf>
    <xf numFmtId="164" fontId="5" fillId="2" borderId="16" applyAlignment="1" pivotButton="0" quotePrefix="0" xfId="1">
      <alignment horizontal="center" vertical="center"/>
    </xf>
    <xf numFmtId="165" fontId="11" fillId="12" borderId="5" applyAlignment="1" pivotButton="0" quotePrefix="0" xfId="0">
      <alignment horizontal="left" vertical="center" indent="1"/>
    </xf>
    <xf numFmtId="164" fontId="5" fillId="2" borderId="21" applyAlignment="1" pivotButton="0" quotePrefix="0" xfId="1">
      <alignment horizontal="center" vertical="center"/>
    </xf>
    <xf numFmtId="0" fontId="13" fillId="6" borderId="35" applyAlignment="1" pivotButton="0" quotePrefix="0" xfId="0">
      <alignment horizontal="left" vertical="center" indent="1"/>
    </xf>
    <xf numFmtId="0" fontId="13" fillId="6" borderId="34" applyAlignment="1" pivotButton="0" quotePrefix="0" xfId="0">
      <alignment horizontal="left" vertical="center" indent="1"/>
    </xf>
    <xf numFmtId="0" fontId="13" fillId="6" borderId="36" applyAlignment="1" pivotButton="0" quotePrefix="0" xfId="0">
      <alignment horizontal="left" vertical="center" indent="1"/>
    </xf>
    <xf numFmtId="0" fontId="0" fillId="0" borderId="28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164" fontId="10" fillId="17" borderId="54" applyAlignment="1" pivotButton="0" quotePrefix="0" xfId="1">
      <alignment horizontal="center" vertical="center"/>
    </xf>
    <xf numFmtId="164" fontId="10" fillId="17" borderId="53" applyAlignment="1" pivotButton="0" quotePrefix="0" xfId="1">
      <alignment horizontal="center" vertical="center"/>
    </xf>
    <xf numFmtId="0" fontId="0" fillId="0" borderId="28" applyAlignment="1" pivotButton="0" quotePrefix="0" xfId="0">
      <alignment horizontal="left" vertical="center" indent="1"/>
    </xf>
    <xf numFmtId="0" fontId="0" fillId="0" borderId="33" applyAlignment="1" pivotButton="0" quotePrefix="0" xfId="0">
      <alignment horizontal="left" vertical="center" indent="1"/>
    </xf>
    <xf numFmtId="0" fontId="0" fillId="0" borderId="47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indent="1"/>
    </xf>
    <xf numFmtId="0" fontId="0" fillId="0" borderId="10" applyAlignment="1" pivotButton="0" quotePrefix="0" xfId="0">
      <alignment horizontal="left" vertical="center" indent="1"/>
    </xf>
    <xf numFmtId="0" fontId="5" fillId="4" borderId="1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0" fillId="0" borderId="48" applyAlignment="1" pivotButton="0" quotePrefix="0" xfId="0">
      <alignment horizontal="left" vertical="center" indent="1"/>
    </xf>
    <xf numFmtId="0" fontId="0" fillId="0" borderId="37" applyAlignment="1" pivotButton="0" quotePrefix="0" xfId="0">
      <alignment horizontal="left" vertical="center" indent="1"/>
    </xf>
    <xf numFmtId="0" fontId="0" fillId="0" borderId="38" applyAlignment="1" pivotButton="0" quotePrefix="0" xfId="0">
      <alignment horizontal="left" vertical="center" indent="1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3" fillId="7" borderId="16" applyAlignment="1" pivotButton="0" quotePrefix="0" xfId="0">
      <alignment horizontal="left" vertical="center" indent="1"/>
    </xf>
    <xf numFmtId="0" fontId="3" fillId="7" borderId="17" applyAlignment="1" pivotButton="0" quotePrefix="0" xfId="0">
      <alignment horizontal="left" vertical="center" indent="1"/>
    </xf>
    <xf numFmtId="0" fontId="0" fillId="0" borderId="39" applyAlignment="1" pivotButton="0" quotePrefix="0" xfId="0">
      <alignment horizontal="left" vertical="center" indent="1"/>
    </xf>
    <xf numFmtId="0" fontId="0" fillId="0" borderId="40" applyAlignment="1" pivotButton="0" quotePrefix="0" xfId="0">
      <alignment horizontal="left" vertical="center" indent="1"/>
    </xf>
    <xf numFmtId="0" fontId="12" fillId="16" borderId="22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2"/>
    </xf>
    <xf numFmtId="164" fontId="5" fillId="5" borderId="2" applyAlignment="1" pivotButton="0" quotePrefix="0" xfId="1">
      <alignment horizontal="left" vertical="center" indent="1"/>
    </xf>
    <xf numFmtId="164" fontId="11" fillId="9" borderId="5" applyAlignment="1" pivotButton="0" quotePrefix="0" xfId="1">
      <alignment horizontal="left" vertical="center" indent="1"/>
    </xf>
    <xf numFmtId="164" fontId="0" fillId="0" borderId="0" applyAlignment="1" pivotButton="0" quotePrefix="0" xfId="1">
      <alignment horizontal="left" vertical="center" indent="1"/>
    </xf>
    <xf numFmtId="0" fontId="13" fillId="6" borderId="5" applyAlignment="1" pivotButton="0" quotePrefix="0" xfId="0">
      <alignment horizontal="left" vertical="center" indent="1"/>
    </xf>
    <xf numFmtId="0" fontId="0" fillId="0" borderId="34" pivotButton="0" quotePrefix="0" xfId="0"/>
    <xf numFmtId="0" fontId="0" fillId="0" borderId="36" pivotButton="0" quotePrefix="0" xfId="0"/>
    <xf numFmtId="0" fontId="0" fillId="0" borderId="21" pivotButton="0" quotePrefix="0" xfId="0"/>
    <xf numFmtId="164" fontId="3" fillId="7" borderId="21" applyAlignment="1" pivotButton="0" quotePrefix="0" xfId="1">
      <alignment horizontal="left" vertical="center" indent="1"/>
    </xf>
    <xf numFmtId="164" fontId="3" fillId="7" borderId="16" applyAlignment="1" pivotButton="0" quotePrefix="0" xfId="1">
      <alignment horizontal="left" vertical="center" indent="1"/>
    </xf>
    <xf numFmtId="164" fontId="4" fillId="7" borderId="16" applyAlignment="1" pivotButton="0" quotePrefix="0" xfId="1">
      <alignment horizontal="left" vertical="center" indent="1"/>
    </xf>
    <xf numFmtId="164" fontId="4" fillId="7" borderId="44" applyAlignment="1" pivotButton="0" quotePrefix="0" xfId="1">
      <alignment horizontal="left" vertical="center" indent="1"/>
    </xf>
    <xf numFmtId="164" fontId="10" fillId="7" borderId="35" applyAlignment="1" pivotButton="0" quotePrefix="0" xfId="1">
      <alignment horizontal="left" vertical="center" indent="1"/>
    </xf>
    <xf numFmtId="0" fontId="0" fillId="0" borderId="57" pivotButton="0" quotePrefix="0" xfId="0"/>
    <xf numFmtId="0" fontId="0" fillId="0" borderId="12" pivotButton="0" quotePrefix="0" xfId="0"/>
    <xf numFmtId="164" fontId="0" fillId="0" borderId="12" applyAlignment="1" pivotButton="0" quotePrefix="0" xfId="1">
      <alignment horizontal="left" vertical="center" indent="1"/>
    </xf>
    <xf numFmtId="164" fontId="0" fillId="0" borderId="39" applyAlignment="1" pivotButton="0" quotePrefix="0" xfId="1">
      <alignment horizontal="left" vertical="center" indent="1"/>
    </xf>
    <xf numFmtId="164" fontId="0" fillId="0" borderId="23" applyAlignment="1" pivotButton="0" quotePrefix="0" xfId="1">
      <alignment horizontal="left" vertical="center" indent="1"/>
    </xf>
    <xf numFmtId="164" fontId="5" fillId="14" borderId="49" applyAlignment="1" pivotButton="0" quotePrefix="0" xfId="1">
      <alignment horizontal="left" vertical="center" indent="1"/>
    </xf>
    <xf numFmtId="165" fontId="5" fillId="0" borderId="25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33" pivotButton="0" quotePrefix="0" xfId="0"/>
    <xf numFmtId="0" fontId="0" fillId="0" borderId="2" pivotButton="0" quotePrefix="0" xfId="0"/>
    <xf numFmtId="164" fontId="0" fillId="0" borderId="2" applyAlignment="1" pivotButton="0" quotePrefix="0" xfId="1">
      <alignment horizontal="left" vertical="center" indent="1"/>
    </xf>
    <xf numFmtId="164" fontId="0" fillId="0" borderId="1" applyAlignment="1" pivotButton="0" quotePrefix="0" xfId="1">
      <alignment horizontal="left" vertical="center" indent="1"/>
    </xf>
    <xf numFmtId="164" fontId="0" fillId="0" borderId="28" applyAlignment="1" pivotButton="0" quotePrefix="0" xfId="1">
      <alignment horizontal="left" vertical="center" indent="1"/>
    </xf>
    <xf numFmtId="164" fontId="5" fillId="14" borderId="50" applyAlignment="1" pivotButton="0" quotePrefix="0" xfId="1">
      <alignment horizontal="left" vertical="center" indent="1"/>
    </xf>
    <xf numFmtId="0" fontId="0" fillId="0" borderId="56" pivotButton="0" quotePrefix="0" xfId="0"/>
    <xf numFmtId="164" fontId="5" fillId="4" borderId="20" applyAlignment="1" pivotButton="0" quotePrefix="0" xfId="1">
      <alignment horizontal="center" vertical="center"/>
    </xf>
    <xf numFmtId="164" fontId="5" fillId="4" borderId="11" applyAlignment="1" pivotButton="0" quotePrefix="0" xfId="1">
      <alignment horizontal="center" vertical="center"/>
    </xf>
    <xf numFmtId="164" fontId="5" fillId="4" borderId="31" applyAlignment="1" pivotButton="0" quotePrefix="0" xfId="1">
      <alignment horizontal="center" vertical="center"/>
    </xf>
    <xf numFmtId="164" fontId="5" fillId="15" borderId="51" applyAlignment="1" pivotButton="0" quotePrefix="0" xfId="1">
      <alignment horizontal="left" vertical="center" indent="1"/>
    </xf>
    <xf numFmtId="165" fontId="5" fillId="11" borderId="27" applyAlignment="1" pivotButton="0" quotePrefix="0" xfId="0">
      <alignment horizontal="left" vertical="center" indent="1"/>
    </xf>
    <xf numFmtId="0" fontId="0" fillId="0" borderId="60" applyAlignment="1" pivotButton="0" quotePrefix="0" xfId="0">
      <alignment horizontal="left" vertical="center" indent="1"/>
    </xf>
    <xf numFmtId="0" fontId="0" fillId="0" borderId="37" pivotButton="0" quotePrefix="0" xfId="0"/>
    <xf numFmtId="0" fontId="0" fillId="0" borderId="38" pivotButton="0" quotePrefix="0" xfId="0"/>
    <xf numFmtId="164" fontId="0" fillId="0" borderId="45" applyAlignment="1" pivotButton="0" quotePrefix="0" xfId="1">
      <alignment horizontal="left" vertical="center" indent="1"/>
    </xf>
    <xf numFmtId="165" fontId="5" fillId="0" borderId="24" applyAlignment="1" pivotButton="0" quotePrefix="0" xfId="0">
      <alignment horizontal="left" vertical="center" indent="1"/>
    </xf>
    <xf numFmtId="0" fontId="0" fillId="0" borderId="47" pivotButton="0" quotePrefix="0" xfId="0"/>
    <xf numFmtId="164" fontId="0" fillId="0" borderId="33" applyAlignment="1" pivotButton="0" quotePrefix="0" xfId="1">
      <alignment horizontal="left" vertical="center" indent="1"/>
    </xf>
    <xf numFmtId="0" fontId="0" fillId="0" borderId="10" applyAlignment="1" pivotButton="0" quotePrefix="0" xfId="0">
      <alignment horizontal="center" vertical="center"/>
    </xf>
    <xf numFmtId="164" fontId="5" fillId="5" borderId="19" applyAlignment="1" pivotButton="0" quotePrefix="0" xfId="1">
      <alignment horizontal="center" vertical="center"/>
    </xf>
    <xf numFmtId="164" fontId="5" fillId="5" borderId="3" applyAlignment="1" pivotButton="0" quotePrefix="0" xfId="1">
      <alignment horizontal="center" vertical="center"/>
    </xf>
    <xf numFmtId="164" fontId="5" fillId="5" borderId="4" applyAlignment="1" pivotButton="0" quotePrefix="0" xfId="1">
      <alignment horizontal="center" vertical="center"/>
    </xf>
    <xf numFmtId="164" fontId="5" fillId="13" borderId="52" applyAlignment="1" pivotButton="0" quotePrefix="0" xfId="1">
      <alignment horizontal="center" vertical="center"/>
    </xf>
    <xf numFmtId="165" fontId="5" fillId="13" borderId="27" applyAlignment="1" pivotButton="0" quotePrefix="0" xfId="0">
      <alignment horizontal="left" vertical="center" indent="1"/>
    </xf>
    <xf numFmtId="164" fontId="5" fillId="2" borderId="21" applyAlignment="1" pivotButton="0" quotePrefix="0" xfId="1">
      <alignment horizontal="center" vertical="center"/>
    </xf>
    <xf numFmtId="164" fontId="5" fillId="2" borderId="16" applyAlignment="1" pivotButton="0" quotePrefix="0" xfId="1">
      <alignment horizontal="center" vertical="center"/>
    </xf>
    <xf numFmtId="164" fontId="5" fillId="2" borderId="16" applyAlignment="1" pivotButton="0" quotePrefix="0" xfId="1">
      <alignment horizontal="left" vertical="center" indent="1"/>
    </xf>
    <xf numFmtId="164" fontId="5" fillId="2" borderId="44" applyAlignment="1" pivotButton="0" quotePrefix="0" xfId="1">
      <alignment horizontal="left" vertical="center" indent="1"/>
    </xf>
    <xf numFmtId="164" fontId="5" fillId="2" borderId="35" applyAlignment="1" pivotButton="0" quotePrefix="0" xfId="1">
      <alignment horizontal="left" vertical="center" indent="1"/>
    </xf>
    <xf numFmtId="165" fontId="11" fillId="12" borderId="5" applyAlignment="1" pivotButton="0" quotePrefix="0" xfId="0">
      <alignment horizontal="left" vertical="center" indent="1"/>
    </xf>
    <xf numFmtId="164" fontId="5" fillId="18" borderId="0" applyAlignment="1" pivotButton="0" quotePrefix="0" xfId="1">
      <alignment horizontal="center" vertical="center"/>
    </xf>
    <xf numFmtId="164" fontId="5" fillId="18" borderId="0" applyAlignment="1" pivotButton="0" quotePrefix="0" xfId="1">
      <alignment horizontal="left" vertical="center" indent="1"/>
    </xf>
    <xf numFmtId="165" fontId="11" fillId="18" borderId="0" applyAlignment="1" pivotButton="0" quotePrefix="0" xfId="0">
      <alignment horizontal="left" vertical="center" indent="1"/>
    </xf>
    <xf numFmtId="164" fontId="10" fillId="17" borderId="5" applyAlignment="1" pivotButton="0" quotePrefix="0" xfId="1">
      <alignment horizontal="center" vertical="center"/>
    </xf>
    <xf numFmtId="164" fontId="5" fillId="0" borderId="41" applyAlignment="1" pivotButton="0" quotePrefix="0" xfId="1">
      <alignment horizontal="center" vertical="center"/>
    </xf>
    <xf numFmtId="165" fontId="11" fillId="9" borderId="24" applyAlignment="1" pivotButton="0" quotePrefix="0" xfId="0">
      <alignment horizontal="left" vertical="center" indent="1"/>
    </xf>
    <xf numFmtId="0" fontId="0" fillId="0" borderId="53" pivotButton="0" quotePrefix="0" xfId="0"/>
    <xf numFmtId="164" fontId="5" fillId="0" borderId="43" applyAlignment="1" pivotButton="0" quotePrefix="0" xfId="1">
      <alignment horizontal="center" vertical="center"/>
    </xf>
    <xf numFmtId="165" fontId="11" fillId="9" borderId="26" applyAlignment="1" pivotButton="0" quotePrefix="0" xfId="0">
      <alignment horizontal="left" vertical="center" indent="1"/>
    </xf>
    <xf numFmtId="164" fontId="0" fillId="0" borderId="0" applyAlignment="1" pivotButton="0" quotePrefix="0" xfId="1">
      <alignment vertical="center"/>
    </xf>
    <xf numFmtId="0" fontId="0" fillId="0" borderId="22" pivotButton="0" quotePrefix="0" xfId="0"/>
    <xf numFmtId="164" fontId="0" fillId="0" borderId="8" applyAlignment="1" pivotButton="0" quotePrefix="0" xfId="1">
      <alignment vertical="center"/>
    </xf>
    <xf numFmtId="0" fontId="0" fillId="0" borderId="13" pivotButton="0" quotePrefix="0" xfId="0"/>
    <xf numFmtId="164" fontId="0" fillId="0" borderId="10" applyAlignment="1" pivotButton="0" quotePrefix="0" xfId="1">
      <alignment vertical="center"/>
    </xf>
    <xf numFmtId="0" fontId="0" fillId="0" borderId="45" pivotButton="0" quotePrefix="0" xfId="0"/>
    <xf numFmtId="164" fontId="0" fillId="0" borderId="14" applyAlignment="1" pivotButton="0" quotePrefix="0" xfId="1">
      <alignment vertical="center"/>
    </xf>
    <xf numFmtId="164" fontId="5" fillId="9" borderId="17" applyAlignment="1" pivotButton="0" quotePrefix="0" xfId="1">
      <alignment vertical="center"/>
    </xf>
    <xf numFmtId="164" fontId="9" fillId="8" borderId="2" applyAlignment="1" pivotButton="0" quotePrefix="0" xfId="1">
      <alignment horizontal="left" vertical="center" indent="1"/>
    </xf>
    <xf numFmtId="164" fontId="9" fillId="8" borderId="1" applyAlignment="1" pivotButton="0" quotePrefix="0" xfId="1">
      <alignment horizontal="left" vertical="center" indent="1"/>
    </xf>
    <xf numFmtId="164" fontId="9" fillId="8" borderId="28" applyAlignment="1" pivotButton="0" quotePrefix="0" xfId="1">
      <alignment horizontal="left" vertical="center" indent="1"/>
    </xf>
    <xf numFmtId="164" fontId="8" fillId="5" borderId="25" applyAlignment="1" pivotButton="0" quotePrefix="0" xfId="1">
      <alignment horizontal="left" vertical="center" indent="1"/>
    </xf>
    <xf numFmtId="164" fontId="8" fillId="5" borderId="27" applyAlignment="1" pivotButton="0" quotePrefix="0" xfId="1">
      <alignment horizontal="left" vertical="center" indent="1"/>
    </xf>
    <xf numFmtId="164" fontId="5" fillId="5" borderId="19" applyAlignment="1" pivotButton="0" quotePrefix="0" xfId="1">
      <alignment horizontal="left" vertical="center" indent="1"/>
    </xf>
    <xf numFmtId="164" fontId="5" fillId="5" borderId="29" applyAlignment="1" pivotButton="0" quotePrefix="0" xfId="1">
      <alignment horizontal="left" vertical="center" indent="1"/>
    </xf>
    <xf numFmtId="164" fontId="6" fillId="9" borderId="5" applyAlignment="1" pivotButton="0" quotePrefix="0" xfId="1">
      <alignment horizontal="left" vertical="center" indent="1"/>
    </xf>
    <xf numFmtId="164" fontId="0" fillId="0" borderId="18" applyAlignment="1" pivotButton="0" quotePrefix="0" xfId="1">
      <alignment horizontal="left" vertical="center" indent="1"/>
    </xf>
    <xf numFmtId="164" fontId="0" fillId="0" borderId="7" applyAlignment="1" pivotButton="0" quotePrefix="0" xfId="1">
      <alignment horizontal="left" vertical="center" indent="1"/>
    </xf>
    <xf numFmtId="164" fontId="0" fillId="0" borderId="30" applyAlignment="1" pivotButton="0" quotePrefix="0" xfId="1">
      <alignment horizontal="left" vertical="center" indent="1"/>
    </xf>
    <xf numFmtId="164" fontId="0" fillId="5" borderId="24" applyAlignment="1" pivotButton="0" quotePrefix="0" xfId="0">
      <alignment horizontal="left" vertical="center" indent="1"/>
    </xf>
    <xf numFmtId="164" fontId="0" fillId="5" borderId="25" applyAlignment="1" pivotButton="0" quotePrefix="0" xfId="0">
      <alignment horizontal="left" vertical="center" indent="1"/>
    </xf>
    <xf numFmtId="164" fontId="0" fillId="5" borderId="27" applyAlignment="1" pivotButton="0" quotePrefix="0" xfId="0">
      <alignment horizontal="left" vertical="center" indent="1"/>
    </xf>
    <xf numFmtId="164" fontId="5" fillId="5" borderId="2" applyAlignment="1" pivotButton="0" quotePrefix="0" xfId="1">
      <alignment horizontal="left" vertical="center" indent="1"/>
    </xf>
    <xf numFmtId="164" fontId="5" fillId="9" borderId="5" applyAlignment="1" pivotButton="0" quotePrefix="0" xfId="0">
      <alignment horizontal="left" vertical="center" indent="1"/>
    </xf>
    <xf numFmtId="164" fontId="0" fillId="5" borderId="32" applyAlignment="1" pivotButton="0" quotePrefix="0" xfId="0">
      <alignment horizontal="left" vertical="center" indent="1"/>
    </xf>
    <xf numFmtId="164" fontId="5" fillId="5" borderId="31" applyAlignment="1" pivotButton="0" quotePrefix="0" xfId="1">
      <alignment horizontal="left" vertical="center" indent="1"/>
    </xf>
    <xf numFmtId="164" fontId="5" fillId="9" borderId="26" applyAlignment="1" pivotButton="0" quotePrefix="0" xfId="0">
      <alignment horizontal="left" vertical="center" indent="1"/>
    </xf>
    <xf numFmtId="164" fontId="11" fillId="9" borderId="5" applyAlignment="1" pivotButton="0" quotePrefix="0" xfId="1">
      <alignment horizontal="left" vertical="center" inden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I13" sqref="I13"/>
    </sheetView>
  </sheetViews>
  <sheetFormatPr baseColWidth="8" defaultRowHeight="17"/>
  <cols>
    <col width="8.6640625" customWidth="1" style="1" min="1" max="1"/>
    <col width="10.58203125" customWidth="1" style="2" min="2" max="2"/>
    <col width="3.33203125" customWidth="1" style="2" min="3" max="3"/>
    <col width="4.5" customWidth="1" style="2" min="4" max="4"/>
    <col width="13.9140625" customWidth="1" style="124" min="5" max="10"/>
    <col width="15.25" customWidth="1" style="124" min="11" max="11"/>
    <col width="22.25" customWidth="1" style="2" min="12" max="12"/>
    <col width="8.6640625" customWidth="1" style="2" min="13" max="16384"/>
  </cols>
  <sheetData>
    <row r="1" ht="38.5" customHeight="1" thickBot="1">
      <c r="A1" s="125" t="inlineStr">
        <is>
          <t>소담김밥 월별손익계산서_2025 하반기</t>
        </is>
      </c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7" t="n"/>
    </row>
    <row r="2" ht="35" customHeight="1" thickBot="1">
      <c r="A2" s="42" t="n"/>
      <c r="B2" s="111" t="n"/>
      <c r="C2" s="126" t="n"/>
      <c r="D2" s="128" t="n"/>
      <c r="E2" s="129" t="inlineStr">
        <is>
          <t>7월</t>
        </is>
      </c>
      <c r="F2" s="130" t="inlineStr">
        <is>
          <t>8월</t>
        </is>
      </c>
      <c r="G2" s="130" t="inlineStr">
        <is>
          <t>9월</t>
        </is>
      </c>
      <c r="H2" s="131" t="inlineStr">
        <is>
          <t>10월</t>
        </is>
      </c>
      <c r="I2" s="131" t="inlineStr">
        <is>
          <t>11월</t>
        </is>
      </c>
      <c r="J2" s="132" t="inlineStr">
        <is>
          <t>12월</t>
        </is>
      </c>
      <c r="K2" s="133" t="inlineStr">
        <is>
          <t>합  계</t>
        </is>
      </c>
      <c r="L2" s="54" t="inlineStr">
        <is>
          <t>2025하반기월평균소득</t>
        </is>
      </c>
    </row>
    <row r="3" ht="26" customHeight="1">
      <c r="A3" s="108" t="inlineStr">
        <is>
          <t>수입</t>
        </is>
      </c>
      <c r="B3" s="113" t="inlineStr">
        <is>
          <t>매장 매출</t>
        </is>
      </c>
      <c r="C3" s="134" t="n"/>
      <c r="D3" s="135" t="n"/>
      <c r="E3" s="136" t="n">
        <v>43791500</v>
      </c>
      <c r="F3" s="137" t="n">
        <v>33446500</v>
      </c>
      <c r="G3" s="137" t="n">
        <v>46233500</v>
      </c>
      <c r="H3" s="137" t="n">
        <v>40746000</v>
      </c>
      <c r="I3" s="137" t="n">
        <v>45819450</v>
      </c>
      <c r="J3" s="138" t="n">
        <v>49811000</v>
      </c>
      <c r="K3" s="139">
        <f>SUM(E3:J3)</f>
        <v/>
      </c>
      <c r="L3" s="140">
        <f>K3/6</f>
        <v/>
      </c>
    </row>
    <row r="4" ht="26" customHeight="1">
      <c r="A4" s="141" t="n"/>
      <c r="B4" s="94" t="inlineStr">
        <is>
          <t>쿠팡 정산금</t>
        </is>
      </c>
      <c r="C4" s="142" t="n"/>
      <c r="D4" s="143" t="n"/>
      <c r="E4" s="144">
        <f>쿠팡인출내역!C33</f>
        <v/>
      </c>
      <c r="F4" s="145">
        <f>쿠팡인출내역!F33</f>
        <v/>
      </c>
      <c r="G4" s="145">
        <f>쿠팡인출내역!I33</f>
        <v/>
      </c>
      <c r="H4" s="145">
        <f>쿠팡인출내역!L33</f>
        <v/>
      </c>
      <c r="I4" s="145">
        <f>쿠팡인출내역!O33</f>
        <v/>
      </c>
      <c r="J4" s="146">
        <f>쿠팡인출내역!R33</f>
        <v/>
      </c>
      <c r="K4" s="147">
        <f>SUM(E4:J4)</f>
        <v/>
      </c>
      <c r="L4" s="140">
        <f>K4/6</f>
        <v/>
      </c>
    </row>
    <row r="5" ht="26" customHeight="1">
      <c r="A5" s="141" t="n"/>
      <c r="B5" s="94" t="inlineStr">
        <is>
          <t>배민 정산금</t>
        </is>
      </c>
      <c r="C5" s="142" t="n"/>
      <c r="D5" s="143" t="n"/>
      <c r="E5" s="144" t="n">
        <v>3405467</v>
      </c>
      <c r="F5" s="145" t="n">
        <v>2078495</v>
      </c>
      <c r="G5" s="145" t="n">
        <v>2892424</v>
      </c>
      <c r="H5" s="145" t="n">
        <v>3339488</v>
      </c>
      <c r="I5" s="145" t="n">
        <v>2737557</v>
      </c>
      <c r="J5" s="146" t="n">
        <v>3276507</v>
      </c>
      <c r="K5" s="147">
        <f>SUM(E5:J5)</f>
        <v/>
      </c>
      <c r="L5" s="140">
        <f>K5/6</f>
        <v/>
      </c>
    </row>
    <row r="6" ht="26" customHeight="1">
      <c r="A6" s="141" t="n"/>
      <c r="B6" s="94" t="inlineStr">
        <is>
          <t>요기요 정산금</t>
        </is>
      </c>
      <c r="C6" s="142" t="n"/>
      <c r="D6" s="143" t="n"/>
      <c r="E6" s="144" t="n">
        <v>191533</v>
      </c>
      <c r="F6" s="145" t="n">
        <v>120265</v>
      </c>
      <c r="G6" s="145" t="n">
        <v>153751</v>
      </c>
      <c r="H6" s="145" t="n">
        <v>286580</v>
      </c>
      <c r="I6" s="145" t="n">
        <v>285020</v>
      </c>
      <c r="J6" s="146" t="n">
        <v>426838</v>
      </c>
      <c r="K6" s="147">
        <f>SUM(E6:J6)</f>
        <v/>
      </c>
      <c r="L6" s="140">
        <f>K6/6</f>
        <v/>
      </c>
    </row>
    <row r="7" ht="26" customHeight="1">
      <c r="A7" s="141" t="n"/>
      <c r="B7" s="94" t="inlineStr">
        <is>
          <t>땡겨요 정산금</t>
        </is>
      </c>
      <c r="C7" s="142" t="n"/>
      <c r="D7" s="143" t="n"/>
      <c r="E7" s="144" t="n">
        <v>11670</v>
      </c>
      <c r="F7" s="145" t="n">
        <v>30150</v>
      </c>
      <c r="G7" s="145" t="n">
        <v>206823</v>
      </c>
      <c r="H7" s="145" t="n">
        <v>623601</v>
      </c>
      <c r="I7" s="145" t="n">
        <v>367512</v>
      </c>
      <c r="J7" s="146" t="n">
        <v>302249</v>
      </c>
      <c r="K7" s="147">
        <f>SUM(E7:J7)</f>
        <v/>
      </c>
      <c r="L7" s="140">
        <f>K7/6</f>
        <v/>
      </c>
    </row>
    <row r="8" ht="35" customHeight="1" thickBot="1">
      <c r="A8" s="96" t="inlineStr">
        <is>
          <t>합 계</t>
        </is>
      </c>
      <c r="D8" s="148" t="n"/>
      <c r="E8" s="149">
        <f>SUM(E3:E7)</f>
        <v/>
      </c>
      <c r="F8" s="150">
        <f>SUM(F3:F7)</f>
        <v/>
      </c>
      <c r="G8" s="150">
        <f>SUM(G3:G7)</f>
        <v/>
      </c>
      <c r="H8" s="150">
        <f>SUM(H3:H7)</f>
        <v/>
      </c>
      <c r="I8" s="150">
        <f>SUM(I3:I7)</f>
        <v/>
      </c>
      <c r="J8" s="151">
        <f>SUM(J3:J7)</f>
        <v/>
      </c>
      <c r="K8" s="152">
        <f>SUM(K3:K7)</f>
        <v/>
      </c>
      <c r="L8" s="153">
        <f>SUM(L3:L7)</f>
        <v/>
      </c>
    </row>
    <row r="9" ht="25" customHeight="1">
      <c r="A9" s="109" t="inlineStr">
        <is>
          <t>지출</t>
        </is>
      </c>
      <c r="B9" s="154" t="inlineStr">
        <is>
          <t>인건비</t>
        </is>
      </c>
      <c r="C9" s="155" t="n"/>
      <c r="D9" s="156" t="n"/>
      <c r="E9" s="136" t="n">
        <v>13851000</v>
      </c>
      <c r="F9" s="137" t="n">
        <v>11920400</v>
      </c>
      <c r="G9" s="157" t="n">
        <v>15195900</v>
      </c>
      <c r="H9" s="137" t="n">
        <v>14507000</v>
      </c>
      <c r="I9" s="137" t="n">
        <v>15176800</v>
      </c>
      <c r="J9" s="138" t="n">
        <v>15632400</v>
      </c>
      <c r="K9" s="139">
        <f>SUM(E9:J9)</f>
        <v/>
      </c>
      <c r="L9" s="158">
        <f>K9/6</f>
        <v/>
      </c>
    </row>
    <row r="10" ht="25" customHeight="1">
      <c r="A10" s="141" t="n"/>
      <c r="B10" s="95" t="inlineStr">
        <is>
          <t>임대관리비</t>
        </is>
      </c>
      <c r="C10" s="142" t="n"/>
      <c r="D10" s="159" t="n"/>
      <c r="E10" s="144">
        <f>'7월비용'!AG46</f>
        <v/>
      </c>
      <c r="F10" s="145">
        <f>'8월비용'!AG47</f>
        <v/>
      </c>
      <c r="G10" s="145">
        <f>'9월비용'!AF44</f>
        <v/>
      </c>
      <c r="H10" s="145">
        <f>'10월비용'!AG44</f>
        <v/>
      </c>
      <c r="I10" s="145">
        <f>'11월비용'!AG44</f>
        <v/>
      </c>
      <c r="J10" s="146">
        <f>'12월비용'!AG47</f>
        <v/>
      </c>
      <c r="K10" s="147">
        <f>SUM(E10:J10)</f>
        <v/>
      </c>
      <c r="L10" s="140">
        <f>K10/6</f>
        <v/>
      </c>
    </row>
    <row r="11" ht="25" customHeight="1">
      <c r="A11" s="141" t="n"/>
      <c r="B11" s="95" t="inlineStr">
        <is>
          <t>제세공과금(기타)</t>
        </is>
      </c>
      <c r="C11" s="142" t="n"/>
      <c r="D11" s="159" t="n"/>
      <c r="E11" s="144">
        <f>'7월비용'!AG43</f>
        <v/>
      </c>
      <c r="F11" s="145">
        <f>'8월비용'!AG44</f>
        <v/>
      </c>
      <c r="G11" s="145">
        <f>'9월비용'!AF41</f>
        <v/>
      </c>
      <c r="H11" s="145">
        <f>'10월비용'!AG41</f>
        <v/>
      </c>
      <c r="I11" s="145">
        <f>'11월비용'!AG41</f>
        <v/>
      </c>
      <c r="J11" s="146">
        <f>'12월비용'!AG44</f>
        <v/>
      </c>
      <c r="K11" s="147">
        <f>SUM(E11:J11)</f>
        <v/>
      </c>
      <c r="L11" s="140">
        <f>K11/6</f>
        <v/>
      </c>
    </row>
    <row r="12" ht="25" customHeight="1">
      <c r="A12" s="141" t="n"/>
      <c r="B12" s="95" t="inlineStr">
        <is>
          <t>부가가치세</t>
        </is>
      </c>
      <c r="C12" s="142" t="n"/>
      <c r="D12" s="159" t="n"/>
      <c r="E12" s="144" t="n">
        <v>4298650</v>
      </c>
      <c r="F12" s="145" t="n"/>
      <c r="G12" s="145" t="n">
        <v>0</v>
      </c>
      <c r="H12" s="145" t="n">
        <v>4694000</v>
      </c>
      <c r="I12" s="145" t="n"/>
      <c r="J12" s="146" t="n"/>
      <c r="K12" s="147">
        <f>SUM(E12:J12)</f>
        <v/>
      </c>
      <c r="L12" s="140">
        <f>K12/6</f>
        <v/>
      </c>
    </row>
    <row r="13" ht="25" customHeight="1">
      <c r="A13" s="141" t="n"/>
      <c r="B13" s="95" t="inlineStr">
        <is>
          <t>사업소득세</t>
        </is>
      </c>
      <c r="C13" s="142" t="n"/>
      <c r="D13" s="159" t="n"/>
      <c r="E13" s="144" t="n">
        <v>286810</v>
      </c>
      <c r="F13" s="144" t="n">
        <v>307820</v>
      </c>
      <c r="G13" s="144" t="n">
        <v>97240</v>
      </c>
      <c r="H13" s="144" t="n">
        <v>347800</v>
      </c>
      <c r="I13" s="144" t="inlineStr">
        <is>
          <t> </t>
        </is>
      </c>
      <c r="J13" s="160" t="n">
        <v>267100</v>
      </c>
      <c r="K13" s="147">
        <f>SUM(E13:J13)</f>
        <v/>
      </c>
      <c r="L13" s="140">
        <f>K13/6</f>
        <v/>
      </c>
    </row>
    <row r="14" ht="25" customHeight="1">
      <c r="A14" s="141" t="n"/>
      <c r="B14" s="95" t="inlineStr">
        <is>
          <t>근로소득세</t>
        </is>
      </c>
      <c r="C14" s="142" t="n"/>
      <c r="D14" s="159" t="n"/>
      <c r="E14" s="144" t="n">
        <v>254220</v>
      </c>
      <c r="F14" s="144" t="n">
        <v>271330</v>
      </c>
      <c r="G14" s="144" t="n"/>
      <c r="H14" s="144" t="n">
        <v>100450</v>
      </c>
      <c r="I14" s="144" t="inlineStr">
        <is>
          <t> </t>
        </is>
      </c>
      <c r="J14" s="160" t="n">
        <v>111220</v>
      </c>
      <c r="K14" s="147">
        <f>SUM(E14:J14)</f>
        <v/>
      </c>
      <c r="L14" s="140">
        <f>K14/6</f>
        <v/>
      </c>
    </row>
    <row r="15" ht="25" customHeight="1">
      <c r="A15" s="141" t="n"/>
      <c r="B15" s="161" t="inlineStr">
        <is>
          <t>카드수수료(0.2%)</t>
        </is>
      </c>
      <c r="C15" s="142" t="n"/>
      <c r="D15" s="159" t="n"/>
      <c r="E15" s="144">
        <f>E3*0.02</f>
        <v/>
      </c>
      <c r="F15" s="144">
        <f>F3*0.02</f>
        <v/>
      </c>
      <c r="G15" s="144">
        <f>G3*0.02</f>
        <v/>
      </c>
      <c r="H15" s="144">
        <f>H3*0.02</f>
        <v/>
      </c>
      <c r="I15" s="144">
        <f>I3*0.02</f>
        <v/>
      </c>
      <c r="J15" s="144">
        <f>J3*0.02</f>
        <v/>
      </c>
      <c r="K15" s="147">
        <f>SUM(E15:J15)</f>
        <v/>
      </c>
      <c r="L15" s="140">
        <f>K15/6</f>
        <v/>
      </c>
    </row>
    <row r="16" ht="25" customHeight="1">
      <c r="A16" s="141" t="n"/>
      <c r="B16" s="95" t="inlineStr">
        <is>
          <t>재료비</t>
        </is>
      </c>
      <c r="C16" s="142" t="n"/>
      <c r="D16" s="159" t="n"/>
      <c r="E16" s="144">
        <f>'7월비용'!AG29</f>
        <v/>
      </c>
      <c r="F16" s="145">
        <f>'8월비용'!AG29</f>
        <v/>
      </c>
      <c r="G16" s="145">
        <f>'9월비용'!AF28</f>
        <v/>
      </c>
      <c r="H16" s="145">
        <f>'10월비용'!AG28</f>
        <v/>
      </c>
      <c r="I16" s="145">
        <f>'11월비용'!AG28</f>
        <v/>
      </c>
      <c r="J16" s="146">
        <f>'12월비용'!AG30</f>
        <v/>
      </c>
      <c r="K16" s="147">
        <f>SUM(E16:J16)</f>
        <v/>
      </c>
      <c r="L16" s="140">
        <f>K16/6</f>
        <v/>
      </c>
    </row>
    <row r="17" ht="25" customHeight="1">
      <c r="A17" s="141" t="n"/>
      <c r="B17" s="94" t="inlineStr">
        <is>
          <t>퇴직금적립</t>
        </is>
      </c>
      <c r="C17" s="142" t="n"/>
      <c r="D17" s="143" t="n"/>
      <c r="E17" s="144">
        <f>E9*0.1</f>
        <v/>
      </c>
      <c r="F17" s="145">
        <f>F9*0.1</f>
        <v/>
      </c>
      <c r="G17" s="145">
        <f>G9*0.1</f>
        <v/>
      </c>
      <c r="H17" s="145">
        <f>H9*0.1</f>
        <v/>
      </c>
      <c r="I17" s="145">
        <f>I9*0.1</f>
        <v/>
      </c>
      <c r="J17" s="146">
        <f>J9*0.1</f>
        <v/>
      </c>
      <c r="K17" s="147">
        <f>SUM(E17:J17)</f>
        <v/>
      </c>
      <c r="L17" s="140">
        <f>K17/6</f>
        <v/>
      </c>
    </row>
    <row r="18" ht="35" customHeight="1" thickBot="1">
      <c r="A18" s="105" t="inlineStr">
        <is>
          <t>합 계</t>
        </is>
      </c>
      <c r="D18" s="148" t="n"/>
      <c r="E18" s="162">
        <f>SUM(E9:E17)</f>
        <v/>
      </c>
      <c r="F18" s="163">
        <f>SUM(F9:F17)</f>
        <v/>
      </c>
      <c r="G18" s="163">
        <f>SUM(G9:G17)</f>
        <v/>
      </c>
      <c r="H18" s="163">
        <f>SUM(H9:H17)</f>
        <v/>
      </c>
      <c r="I18" s="163">
        <f>SUM(I9:I17)</f>
        <v/>
      </c>
      <c r="J18" s="164">
        <f>SUM(J9:J17)</f>
        <v/>
      </c>
      <c r="K18" s="165">
        <f>SUM(K9:K17)</f>
        <v/>
      </c>
      <c r="L18" s="166">
        <f>SUM(L9:L17)</f>
        <v/>
      </c>
    </row>
    <row r="19" ht="35" customHeight="1" thickBot="1">
      <c r="A19" s="102" t="inlineStr">
        <is>
          <t>영업이익</t>
        </is>
      </c>
      <c r="B19" s="126" t="n"/>
      <c r="C19" s="126" t="n"/>
      <c r="D19" s="128" t="n"/>
      <c r="E19" s="167">
        <f>E8-E18</f>
        <v/>
      </c>
      <c r="F19" s="168">
        <f>F8-F18</f>
        <v/>
      </c>
      <c r="G19" s="169">
        <f>G8-G18</f>
        <v/>
      </c>
      <c r="H19" s="169">
        <f>H8-H18</f>
        <v/>
      </c>
      <c r="I19" s="169">
        <f>I8-I18</f>
        <v/>
      </c>
      <c r="J19" s="170">
        <f>J8-J18</f>
        <v/>
      </c>
      <c r="K19" s="171">
        <f>K8-K18</f>
        <v/>
      </c>
      <c r="L19" s="172">
        <f>L8-L18</f>
        <v/>
      </c>
    </row>
    <row r="20" ht="9" customHeight="1" thickBot="1">
      <c r="A20" s="73" t="n"/>
      <c r="B20" s="73" t="n"/>
      <c r="C20" s="73" t="n"/>
      <c r="D20" s="73" t="n"/>
      <c r="E20" s="173" t="n"/>
      <c r="F20" s="173" t="n"/>
      <c r="G20" s="174" t="n"/>
      <c r="H20" s="174" t="n"/>
      <c r="I20" s="174" t="n"/>
      <c r="J20" s="174" t="n"/>
      <c r="K20" s="174" t="n"/>
      <c r="L20" s="175" t="n"/>
    </row>
    <row r="21" ht="27" customHeight="1">
      <c r="I21" s="176" t="inlineStr">
        <is>
          <t>월평균소득</t>
        </is>
      </c>
      <c r="J21" s="177" t="inlineStr">
        <is>
          <t>Hong Ji Yeon</t>
        </is>
      </c>
      <c r="K21" s="77" t="n">
        <v>0.7</v>
      </c>
      <c r="L21" s="178">
        <f>L19*0.7</f>
        <v/>
      </c>
    </row>
    <row r="22" ht="27" customHeight="1" thickBot="1">
      <c r="I22" s="179" t="n"/>
      <c r="J22" s="180" t="inlineStr">
        <is>
          <t>임 춘 우</t>
        </is>
      </c>
      <c r="K22" s="78" t="n">
        <v>0.3</v>
      </c>
      <c r="L22" s="181">
        <f>L19*0.3</f>
        <v/>
      </c>
    </row>
  </sheetData>
  <mergeCells count="22">
    <mergeCell ref="B11:D11"/>
    <mergeCell ref="A8:D8"/>
    <mergeCell ref="B14:D14"/>
    <mergeCell ref="B17:D17"/>
    <mergeCell ref="B13:D13"/>
    <mergeCell ref="A19:D19"/>
    <mergeCell ref="B10:D10"/>
    <mergeCell ref="I21:I22"/>
    <mergeCell ref="B9:D9"/>
    <mergeCell ref="B15:D15"/>
    <mergeCell ref="B6:D6"/>
    <mergeCell ref="B5:D5"/>
    <mergeCell ref="A9:A17"/>
    <mergeCell ref="B4:D4"/>
    <mergeCell ref="B7:D7"/>
    <mergeCell ref="B16:D16"/>
    <mergeCell ref="B3:D3"/>
    <mergeCell ref="A18:D18"/>
    <mergeCell ref="A1:L1"/>
    <mergeCell ref="A3:A7"/>
    <mergeCell ref="B12:D12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K15" sqref="K15"/>
    </sheetView>
  </sheetViews>
  <sheetFormatPr baseColWidth="8" defaultRowHeight="17"/>
  <cols>
    <col width="8.6640625" customWidth="1" style="62" min="1" max="1"/>
    <col width="8.6640625" customWidth="1" style="1" min="2" max="2"/>
    <col width="14.9140625" customWidth="1" style="182" min="3" max="3"/>
    <col width="8.6640625" customWidth="1" style="62" min="4" max="4"/>
    <col width="8.6640625" customWidth="1" style="1" min="5" max="5"/>
    <col width="14.9140625" customWidth="1" style="182" min="6" max="6"/>
    <col width="8.6640625" customWidth="1" style="62" min="7" max="7"/>
    <col width="8.6640625" customWidth="1" style="1" min="8" max="8"/>
    <col width="14.9140625" customWidth="1" style="182" min="9" max="9"/>
    <col width="8.6640625" customWidth="1" style="62" min="10" max="10"/>
    <col width="8.6640625" customWidth="1" style="1" min="11" max="11"/>
    <col width="14.9140625" customWidth="1" style="182" min="12" max="12"/>
    <col width="8.6640625" customWidth="1" style="62" min="13" max="13"/>
    <col width="8.6640625" customWidth="1" style="1" min="14" max="14"/>
    <col width="14.9140625" customWidth="1" style="182" min="15" max="15"/>
    <col width="8.6640625" customWidth="1" style="62" min="16" max="16"/>
    <col width="8.6640625" customWidth="1" style="1" min="17" max="17"/>
    <col width="14.9140625" customWidth="1" style="182" min="18" max="18"/>
    <col width="8.6640625" customWidth="1" style="62" min="19" max="16384"/>
  </cols>
  <sheetData>
    <row r="1" ht="42" customHeight="1" thickBot="1">
      <c r="A1" s="115" t="inlineStr">
        <is>
          <t>쿠팡이츠 정산금 입금내역_2025하반기</t>
        </is>
      </c>
      <c r="B1" s="183" t="n"/>
      <c r="C1" s="183" t="n"/>
      <c r="D1" s="183" t="n"/>
      <c r="E1" s="183" t="n"/>
      <c r="F1" s="183" t="n"/>
      <c r="G1" s="183" t="n"/>
      <c r="H1" s="183" t="n"/>
      <c r="I1" s="183" t="n"/>
      <c r="J1" s="183" t="n"/>
      <c r="K1" s="183" t="n"/>
      <c r="L1" s="183" t="n"/>
      <c r="M1" s="183" t="n"/>
      <c r="N1" s="183" t="n"/>
      <c r="O1" s="183" t="n"/>
      <c r="P1" s="183" t="n"/>
      <c r="Q1" s="183" t="n"/>
      <c r="R1" s="183" t="n"/>
    </row>
    <row r="2">
      <c r="A2" s="116" t="inlineStr">
        <is>
          <t>7월</t>
        </is>
      </c>
      <c r="B2" s="51" t="n">
        <v>1</v>
      </c>
      <c r="C2" s="184" t="n"/>
      <c r="D2" s="116" t="inlineStr">
        <is>
          <t>8월</t>
        </is>
      </c>
      <c r="E2" s="51" t="n">
        <v>1</v>
      </c>
      <c r="F2" s="184" t="n"/>
      <c r="G2" s="116" t="inlineStr">
        <is>
          <t>9월</t>
        </is>
      </c>
      <c r="H2" s="51" t="n">
        <v>1</v>
      </c>
      <c r="I2" s="184" t="n">
        <v>141109</v>
      </c>
      <c r="J2" s="116" t="inlineStr">
        <is>
          <t>10월</t>
        </is>
      </c>
      <c r="K2" s="51" t="n">
        <v>1</v>
      </c>
      <c r="L2" s="184" t="n">
        <v>199452</v>
      </c>
      <c r="M2" s="116" t="inlineStr">
        <is>
          <t>11월</t>
        </is>
      </c>
      <c r="N2" s="51" t="n">
        <v>1</v>
      </c>
      <c r="O2" s="184" t="n"/>
      <c r="P2" s="116" t="inlineStr">
        <is>
          <t>12월</t>
        </is>
      </c>
      <c r="Q2" s="51" t="n">
        <v>1</v>
      </c>
      <c r="R2" s="184" t="n">
        <v>237845</v>
      </c>
    </row>
    <row r="3">
      <c r="A3" s="185" t="n"/>
      <c r="B3" s="50" t="n">
        <v>2</v>
      </c>
      <c r="C3" s="186" t="n"/>
      <c r="D3" s="185" t="n"/>
      <c r="E3" s="50" t="n">
        <v>2</v>
      </c>
      <c r="F3" s="186" t="n"/>
      <c r="G3" s="185" t="n"/>
      <c r="H3" s="50" t="n">
        <v>2</v>
      </c>
      <c r="I3" s="186" t="n">
        <v>291884</v>
      </c>
      <c r="J3" s="185" t="n"/>
      <c r="K3" s="50" t="n">
        <v>2</v>
      </c>
      <c r="L3" s="186" t="n"/>
      <c r="M3" s="185" t="n"/>
      <c r="N3" s="50" t="n">
        <v>2</v>
      </c>
      <c r="O3" s="186" t="n"/>
      <c r="P3" s="185" t="n"/>
      <c r="Q3" s="50" t="n">
        <v>2</v>
      </c>
      <c r="R3" s="186" t="n">
        <v>252876</v>
      </c>
    </row>
    <row r="4">
      <c r="A4" s="185" t="n"/>
      <c r="B4" s="50" t="n">
        <v>3</v>
      </c>
      <c r="C4" s="186" t="n"/>
      <c r="D4" s="185" t="n"/>
      <c r="E4" s="50" t="n">
        <v>3</v>
      </c>
      <c r="F4" s="186" t="n"/>
      <c r="G4" s="185" t="n"/>
      <c r="H4" s="50" t="n">
        <v>3</v>
      </c>
      <c r="I4" s="186" t="n"/>
      <c r="J4" s="185" t="n"/>
      <c r="K4" s="50" t="n">
        <v>3</v>
      </c>
      <c r="L4" s="186" t="n">
        <v>573921</v>
      </c>
      <c r="M4" s="185" t="n"/>
      <c r="N4" s="50" t="n">
        <v>3</v>
      </c>
      <c r="O4" s="186" t="n"/>
      <c r="P4" s="185" t="n"/>
      <c r="Q4" s="50" t="n">
        <v>3</v>
      </c>
      <c r="R4" s="186" t="n"/>
    </row>
    <row r="5">
      <c r="A5" s="185" t="n"/>
      <c r="B5" s="50" t="n">
        <v>4</v>
      </c>
      <c r="C5" s="186" t="n"/>
      <c r="D5" s="185" t="n"/>
      <c r="E5" s="50" t="n">
        <v>4</v>
      </c>
      <c r="F5" s="186" t="n"/>
      <c r="G5" s="185" t="n"/>
      <c r="H5" s="50" t="n">
        <v>4</v>
      </c>
      <c r="I5" s="186" t="n"/>
      <c r="J5" s="185" t="n"/>
      <c r="K5" s="50" t="n">
        <v>4</v>
      </c>
      <c r="L5" s="186" t="n"/>
      <c r="M5" s="185" t="n"/>
      <c r="N5" s="50" t="n">
        <v>4</v>
      </c>
      <c r="O5" s="186" t="n"/>
      <c r="P5" s="185" t="n"/>
      <c r="Q5" s="50" t="n">
        <v>4</v>
      </c>
      <c r="R5" s="186" t="n">
        <v>933839</v>
      </c>
    </row>
    <row r="6">
      <c r="A6" s="185" t="n"/>
      <c r="B6" s="50" t="n">
        <v>5</v>
      </c>
      <c r="C6" s="186" t="n"/>
      <c r="D6" s="185" t="n"/>
      <c r="E6" s="50" t="n">
        <v>5</v>
      </c>
      <c r="F6" s="186" t="n">
        <v>591901</v>
      </c>
      <c r="G6" s="185" t="n"/>
      <c r="H6" s="50" t="n">
        <v>5</v>
      </c>
      <c r="I6" s="186" t="n">
        <v>728223</v>
      </c>
      <c r="J6" s="185" t="n"/>
      <c r="K6" s="50" t="n">
        <v>5</v>
      </c>
      <c r="L6" s="186" t="n"/>
      <c r="M6" s="185" t="n"/>
      <c r="N6" s="50" t="n">
        <v>5</v>
      </c>
      <c r="O6" s="186" t="n">
        <v>967193</v>
      </c>
      <c r="P6" s="185" t="n"/>
      <c r="Q6" s="50" t="n">
        <v>5</v>
      </c>
      <c r="R6" s="186" t="n">
        <v>310003</v>
      </c>
    </row>
    <row r="7">
      <c r="A7" s="185" t="n"/>
      <c r="B7" s="50" t="n">
        <v>6</v>
      </c>
      <c r="C7" s="186" t="n"/>
      <c r="D7" s="185" t="n"/>
      <c r="E7" s="50" t="n">
        <v>6</v>
      </c>
      <c r="F7" s="186" t="n"/>
      <c r="G7" s="185" t="n"/>
      <c r="H7" s="50" t="n">
        <v>6</v>
      </c>
      <c r="I7" s="186" t="n"/>
      <c r="J7" s="185" t="n"/>
      <c r="K7" s="50" t="n">
        <v>6</v>
      </c>
      <c r="L7" s="186" t="n"/>
      <c r="M7" s="185" t="n"/>
      <c r="N7" s="50" t="n">
        <v>6</v>
      </c>
      <c r="O7" s="186" t="n">
        <v>811994</v>
      </c>
      <c r="P7" s="185" t="n"/>
      <c r="Q7" s="50" t="n">
        <v>6</v>
      </c>
      <c r="R7" s="186" t="n"/>
    </row>
    <row r="8">
      <c r="A8" s="185" t="n"/>
      <c r="B8" s="50" t="n">
        <v>7</v>
      </c>
      <c r="C8" s="186" t="n">
        <v>1063307</v>
      </c>
      <c r="D8" s="185" t="n"/>
      <c r="E8" s="50" t="n">
        <v>7</v>
      </c>
      <c r="F8" s="186" t="n"/>
      <c r="G8" s="185" t="n"/>
      <c r="H8" s="50" t="n">
        <v>7</v>
      </c>
      <c r="I8" s="186" t="n"/>
      <c r="J8" s="185" t="n"/>
      <c r="K8" s="50" t="n">
        <v>7</v>
      </c>
      <c r="L8" s="186" t="n"/>
      <c r="M8" s="185" t="n"/>
      <c r="N8" s="50" t="n">
        <v>7</v>
      </c>
      <c r="O8" s="186" t="n"/>
      <c r="P8" s="185" t="n"/>
      <c r="Q8" s="50" t="n">
        <v>7</v>
      </c>
      <c r="R8" s="186" t="n"/>
    </row>
    <row r="9">
      <c r="A9" s="185" t="n"/>
      <c r="B9" s="50" t="n">
        <v>8</v>
      </c>
      <c r="C9" s="186" t="n"/>
      <c r="D9" s="185" t="n"/>
      <c r="E9" s="50" t="n">
        <v>8</v>
      </c>
      <c r="F9" s="186" t="n"/>
      <c r="G9" s="185" t="n"/>
      <c r="H9" s="50" t="n">
        <v>8</v>
      </c>
      <c r="I9" s="186" t="n">
        <v>187626</v>
      </c>
      <c r="J9" s="185" t="n"/>
      <c r="K9" s="50" t="n">
        <v>8</v>
      </c>
      <c r="L9" s="186" t="n"/>
      <c r="M9" s="185" t="n"/>
      <c r="N9" s="50" t="n">
        <v>8</v>
      </c>
      <c r="O9" s="186" t="n"/>
      <c r="P9" s="185" t="n"/>
      <c r="Q9" s="50" t="n">
        <v>8</v>
      </c>
      <c r="R9" s="186" t="n">
        <v>251121</v>
      </c>
    </row>
    <row r="10">
      <c r="A10" s="185" t="n"/>
      <c r="B10" s="50" t="n">
        <v>9</v>
      </c>
      <c r="C10" s="186" t="n"/>
      <c r="D10" s="185" t="n"/>
      <c r="E10" s="50" t="n">
        <v>9</v>
      </c>
      <c r="F10" s="186" t="n">
        <v>638867</v>
      </c>
      <c r="G10" s="185" t="n"/>
      <c r="H10" s="50" t="n">
        <v>9</v>
      </c>
      <c r="I10" s="186" t="n"/>
      <c r="J10" s="185" t="n"/>
      <c r="K10" s="50" t="n">
        <v>9</v>
      </c>
      <c r="L10" s="186" t="n"/>
      <c r="M10" s="185" t="n"/>
      <c r="N10" s="50" t="n">
        <v>9</v>
      </c>
      <c r="O10" s="186" t="n"/>
      <c r="P10" s="185" t="n"/>
      <c r="Q10" s="50" t="n">
        <v>9</v>
      </c>
      <c r="R10" s="186" t="n">
        <v>241283</v>
      </c>
    </row>
    <row r="11">
      <c r="A11" s="185" t="n"/>
      <c r="B11" s="50" t="n">
        <v>10</v>
      </c>
      <c r="C11" s="186" t="n"/>
      <c r="D11" s="185" t="n"/>
      <c r="E11" s="50" t="n">
        <v>10</v>
      </c>
      <c r="F11" s="186" t="n"/>
      <c r="G11" s="185" t="n"/>
      <c r="H11" s="50" t="n">
        <v>10</v>
      </c>
      <c r="I11" s="186" t="n">
        <v>621834</v>
      </c>
      <c r="J11" s="185" t="n"/>
      <c r="K11" s="50" t="n">
        <v>10</v>
      </c>
      <c r="L11" s="186" t="n">
        <v>267431</v>
      </c>
      <c r="M11" s="185" t="n"/>
      <c r="N11" s="50" t="n">
        <v>10</v>
      </c>
      <c r="O11" s="186" t="n">
        <v>685162</v>
      </c>
      <c r="P11" s="185" t="n"/>
      <c r="Q11" s="50" t="n">
        <v>10</v>
      </c>
      <c r="R11" s="186" t="n"/>
    </row>
    <row r="12">
      <c r="A12" s="185" t="n"/>
      <c r="B12" s="50" t="n">
        <v>11</v>
      </c>
      <c r="C12" s="186" t="n"/>
      <c r="D12" s="185" t="n"/>
      <c r="E12" s="50" t="n">
        <v>11</v>
      </c>
      <c r="F12" s="186" t="n">
        <v>150934</v>
      </c>
      <c r="G12" s="185" t="n"/>
      <c r="H12" s="50" t="n">
        <v>11</v>
      </c>
      <c r="I12" s="186" t="n">
        <v>555735</v>
      </c>
      <c r="J12" s="185" t="n"/>
      <c r="K12" s="50" t="n">
        <v>11</v>
      </c>
      <c r="L12" s="186" t="n"/>
      <c r="M12" s="185" t="n"/>
      <c r="N12" s="50" t="n">
        <v>11</v>
      </c>
      <c r="O12" s="186" t="n">
        <v>274603</v>
      </c>
      <c r="P12" s="185" t="n"/>
      <c r="Q12" s="50" t="n">
        <v>11</v>
      </c>
      <c r="R12" s="186" t="n"/>
    </row>
    <row r="13">
      <c r="A13" s="185" t="n"/>
      <c r="B13" s="50" t="n">
        <v>12</v>
      </c>
      <c r="C13" s="186" t="n"/>
      <c r="D13" s="185" t="n"/>
      <c r="E13" s="50" t="n">
        <v>12</v>
      </c>
      <c r="F13" s="186" t="n"/>
      <c r="G13" s="185" t="n"/>
      <c r="H13" s="50" t="n">
        <v>12</v>
      </c>
      <c r="I13" s="186" t="n"/>
      <c r="J13" s="185" t="n"/>
      <c r="K13" s="50" t="n">
        <v>12</v>
      </c>
      <c r="L13" s="186" t="n"/>
      <c r="M13" s="185" t="n"/>
      <c r="N13" s="50" t="n">
        <v>12</v>
      </c>
      <c r="O13" s="186" t="n">
        <v>219602</v>
      </c>
      <c r="P13" s="185" t="n"/>
      <c r="Q13" s="50" t="n">
        <v>12</v>
      </c>
      <c r="R13" s="186" t="n">
        <v>1028344</v>
      </c>
    </row>
    <row r="14">
      <c r="A14" s="185" t="n"/>
      <c r="B14" s="50" t="n">
        <v>13</v>
      </c>
      <c r="C14" s="186" t="n"/>
      <c r="D14" s="185" t="n"/>
      <c r="E14" s="50" t="n">
        <v>13</v>
      </c>
      <c r="F14" s="186" t="n"/>
      <c r="G14" s="185" t="n"/>
      <c r="H14" s="50" t="n">
        <v>13</v>
      </c>
      <c r="I14" s="186" t="n"/>
      <c r="J14" s="185" t="n"/>
      <c r="K14" s="50" t="n">
        <v>13</v>
      </c>
      <c r="L14" s="186" t="n"/>
      <c r="M14" s="185" t="n"/>
      <c r="N14" s="50" t="n">
        <v>13</v>
      </c>
      <c r="O14" s="186" t="n">
        <v>554491</v>
      </c>
      <c r="P14" s="185" t="n"/>
      <c r="Q14" s="50" t="n">
        <v>13</v>
      </c>
      <c r="R14" s="186" t="n"/>
    </row>
    <row r="15">
      <c r="A15" s="185" t="n"/>
      <c r="B15" s="50" t="n">
        <v>14</v>
      </c>
      <c r="C15" s="186" t="n"/>
      <c r="D15" s="185" t="n"/>
      <c r="E15" s="50" t="n">
        <v>14</v>
      </c>
      <c r="F15" s="186" t="n">
        <v>513643</v>
      </c>
      <c r="G15" s="185" t="n"/>
      <c r="H15" s="50" t="n">
        <v>14</v>
      </c>
      <c r="I15" s="186" t="n"/>
      <c r="J15" s="185" t="n"/>
      <c r="K15" s="50" t="n">
        <v>14</v>
      </c>
      <c r="L15" s="186" t="n">
        <v>522921</v>
      </c>
      <c r="M15" s="185" t="n"/>
      <c r="N15" s="50" t="n">
        <v>14</v>
      </c>
      <c r="O15" s="186" t="n">
        <v>294386</v>
      </c>
      <c r="P15" s="185" t="n"/>
      <c r="Q15" s="50" t="n">
        <v>14</v>
      </c>
      <c r="R15" s="186" t="n"/>
    </row>
    <row r="16">
      <c r="A16" s="185" t="n"/>
      <c r="B16" s="50" t="n">
        <v>15</v>
      </c>
      <c r="C16" s="186" t="n">
        <v>1016360</v>
      </c>
      <c r="D16" s="185" t="n"/>
      <c r="E16" s="50" t="n">
        <v>15</v>
      </c>
      <c r="F16" s="186" t="n"/>
      <c r="G16" s="185" t="n"/>
      <c r="H16" s="50" t="n">
        <v>15</v>
      </c>
      <c r="I16" s="186" t="n">
        <v>412704</v>
      </c>
      <c r="J16" s="185" t="n"/>
      <c r="K16" s="50" t="n">
        <v>15</v>
      </c>
      <c r="L16" s="186" t="n"/>
      <c r="M16" s="185" t="n"/>
      <c r="N16" s="50" t="n">
        <v>15</v>
      </c>
      <c r="O16" s="186" t="n"/>
      <c r="P16" s="185" t="n"/>
      <c r="Q16" s="50" t="n">
        <v>15</v>
      </c>
      <c r="R16" s="186" t="n">
        <v>241279</v>
      </c>
    </row>
    <row r="17">
      <c r="A17" s="185" t="n"/>
      <c r="B17" s="50" t="n">
        <v>16</v>
      </c>
      <c r="C17" s="186" t="n"/>
      <c r="D17" s="185" t="n"/>
      <c r="E17" s="50" t="n">
        <v>16</v>
      </c>
      <c r="F17" s="186" t="n"/>
      <c r="G17" s="185" t="n"/>
      <c r="H17" s="50" t="n">
        <v>16</v>
      </c>
      <c r="I17" s="186" t="n"/>
      <c r="J17" s="185" t="n"/>
      <c r="K17" s="50" t="n">
        <v>16</v>
      </c>
      <c r="L17" s="186" t="n">
        <v>1261276</v>
      </c>
      <c r="M17" s="185" t="n"/>
      <c r="N17" s="50" t="n">
        <v>16</v>
      </c>
      <c r="O17" s="186" t="n"/>
      <c r="P17" s="185" t="n"/>
      <c r="Q17" s="50" t="n">
        <v>16</v>
      </c>
      <c r="R17" s="186" t="n"/>
    </row>
    <row r="18">
      <c r="A18" s="185" t="n"/>
      <c r="B18" s="50" t="n">
        <v>17</v>
      </c>
      <c r="C18" s="186" t="n"/>
      <c r="D18" s="185" t="n"/>
      <c r="E18" s="50" t="n">
        <v>17</v>
      </c>
      <c r="F18" s="186" t="n"/>
      <c r="G18" s="185" t="n"/>
      <c r="H18" s="50" t="n">
        <v>17</v>
      </c>
      <c r="I18" s="186" t="n"/>
      <c r="J18" s="185" t="n"/>
      <c r="K18" s="50" t="n">
        <v>17</v>
      </c>
      <c r="L18" s="186" t="n">
        <v>174737</v>
      </c>
      <c r="M18" s="185" t="n"/>
      <c r="N18" s="50" t="n">
        <v>17</v>
      </c>
      <c r="O18" s="186" t="n">
        <v>256902</v>
      </c>
      <c r="P18" s="185" t="n"/>
      <c r="Q18" s="50" t="n">
        <v>17</v>
      </c>
      <c r="R18" s="186" t="n">
        <v>485863</v>
      </c>
    </row>
    <row r="19">
      <c r="A19" s="185" t="n"/>
      <c r="B19" s="50" t="n">
        <v>18</v>
      </c>
      <c r="C19" s="186" t="n">
        <v>619782</v>
      </c>
      <c r="D19" s="185" t="n"/>
      <c r="E19" s="50" t="n">
        <v>18</v>
      </c>
      <c r="F19" s="186" t="n"/>
      <c r="G19" s="185" t="n"/>
      <c r="H19" s="50" t="n">
        <v>18</v>
      </c>
      <c r="I19" s="186" t="n">
        <v>513547</v>
      </c>
      <c r="J19" s="185" t="n"/>
      <c r="K19" s="50" t="n">
        <v>18</v>
      </c>
      <c r="L19" s="186" t="n"/>
      <c r="M19" s="185" t="n"/>
      <c r="N19" s="50" t="n">
        <v>18</v>
      </c>
      <c r="O19" s="186" t="n"/>
      <c r="P19" s="185" t="n"/>
      <c r="Q19" s="50" t="n">
        <v>18</v>
      </c>
      <c r="R19" s="186" t="n">
        <v>423036</v>
      </c>
    </row>
    <row r="20">
      <c r="A20" s="185" t="n"/>
      <c r="B20" s="50" t="n">
        <v>19</v>
      </c>
      <c r="C20" s="186" t="n"/>
      <c r="D20" s="185" t="n"/>
      <c r="E20" s="50" t="n">
        <v>19</v>
      </c>
      <c r="F20" s="186" t="n"/>
      <c r="G20" s="185" t="n"/>
      <c r="H20" s="50" t="n">
        <v>19</v>
      </c>
      <c r="I20" s="186" t="n"/>
      <c r="J20" s="185" t="n"/>
      <c r="K20" s="50" t="n">
        <v>19</v>
      </c>
      <c r="L20" s="186" t="n"/>
      <c r="M20" s="185" t="n"/>
      <c r="N20" s="50" t="n">
        <v>19</v>
      </c>
      <c r="O20" s="186" t="n">
        <v>451768</v>
      </c>
      <c r="P20" s="185" t="n"/>
      <c r="Q20" s="50" t="n">
        <v>19</v>
      </c>
      <c r="R20" s="186" t="n">
        <v>271449</v>
      </c>
    </row>
    <row r="21">
      <c r="A21" s="185" t="n"/>
      <c r="B21" s="50" t="n">
        <v>20</v>
      </c>
      <c r="C21" s="186" t="n"/>
      <c r="D21" s="185" t="n"/>
      <c r="E21" s="50" t="n">
        <v>20</v>
      </c>
      <c r="F21" s="186" t="n"/>
      <c r="G21" s="185" t="n"/>
      <c r="H21" s="50" t="n">
        <v>20</v>
      </c>
      <c r="I21" s="186" t="n"/>
      <c r="J21" s="185" t="n"/>
      <c r="K21" s="50" t="n">
        <v>20</v>
      </c>
      <c r="L21" s="186" t="n">
        <v>254504</v>
      </c>
      <c r="M21" s="185" t="n"/>
      <c r="N21" s="50" t="n">
        <v>20</v>
      </c>
      <c r="O21" s="186" t="n">
        <v>509472</v>
      </c>
      <c r="P21" s="185" t="n"/>
      <c r="Q21" s="50" t="n">
        <v>20</v>
      </c>
      <c r="R21" s="186" t="n"/>
    </row>
    <row r="22">
      <c r="A22" s="185" t="n"/>
      <c r="B22" s="50" t="n">
        <v>21</v>
      </c>
      <c r="C22" s="186" t="n"/>
      <c r="D22" s="185" t="n"/>
      <c r="E22" s="50" t="n">
        <v>21</v>
      </c>
      <c r="F22" s="186" t="n"/>
      <c r="G22" s="185" t="n"/>
      <c r="H22" s="50" t="n">
        <v>21</v>
      </c>
      <c r="I22" s="186" t="n"/>
      <c r="J22" s="185" t="n"/>
      <c r="K22" s="50" t="n">
        <v>21</v>
      </c>
      <c r="L22" s="186" t="n">
        <v>170953</v>
      </c>
      <c r="M22" s="185" t="n"/>
      <c r="N22" s="50" t="n">
        <v>21</v>
      </c>
      <c r="O22" s="186" t="n">
        <v>260168</v>
      </c>
      <c r="P22" s="185" t="n"/>
      <c r="Q22" s="50" t="n">
        <v>21</v>
      </c>
      <c r="R22" s="186" t="n"/>
    </row>
    <row r="23">
      <c r="A23" s="185" t="n"/>
      <c r="B23" s="50" t="n">
        <v>22</v>
      </c>
      <c r="C23" s="186" t="n">
        <v>181630</v>
      </c>
      <c r="D23" s="185" t="n"/>
      <c r="E23" s="50" t="n">
        <v>22</v>
      </c>
      <c r="F23" s="186" t="n">
        <v>171258</v>
      </c>
      <c r="G23" s="185" t="n"/>
      <c r="H23" s="50" t="n">
        <v>22</v>
      </c>
      <c r="I23" s="186" t="n"/>
      <c r="J23" s="185" t="n"/>
      <c r="K23" s="50" t="n">
        <v>22</v>
      </c>
      <c r="L23" s="186" t="n">
        <v>193757</v>
      </c>
      <c r="M23" s="185" t="n"/>
      <c r="N23" s="50" t="n">
        <v>22</v>
      </c>
      <c r="O23" s="186" t="n"/>
      <c r="P23" s="185" t="n"/>
      <c r="Q23" s="50" t="n">
        <v>22</v>
      </c>
      <c r="R23" s="186" t="n">
        <v>204172</v>
      </c>
    </row>
    <row r="24">
      <c r="A24" s="185" t="n"/>
      <c r="B24" s="50" t="n">
        <v>23</v>
      </c>
      <c r="C24" s="186" t="n"/>
      <c r="D24" s="185" t="n"/>
      <c r="E24" s="50" t="n">
        <v>23</v>
      </c>
      <c r="F24" s="186" t="n"/>
      <c r="G24" s="185" t="n"/>
      <c r="H24" s="50" t="n">
        <v>23</v>
      </c>
      <c r="I24" s="186" t="n">
        <v>585600</v>
      </c>
      <c r="J24" s="185" t="n"/>
      <c r="K24" s="50" t="n">
        <v>23</v>
      </c>
      <c r="L24" s="186" t="n">
        <v>452871</v>
      </c>
      <c r="M24" s="185" t="n"/>
      <c r="N24" s="50" t="n">
        <v>23</v>
      </c>
      <c r="O24" s="186" t="n"/>
      <c r="P24" s="185" t="n"/>
      <c r="Q24" s="50" t="n">
        <v>23</v>
      </c>
      <c r="R24" s="186" t="n">
        <v>201456</v>
      </c>
    </row>
    <row r="25">
      <c r="A25" s="185" t="n"/>
      <c r="B25" s="50" t="n">
        <v>24</v>
      </c>
      <c r="C25" s="186" t="n">
        <v>514582</v>
      </c>
      <c r="D25" s="185" t="n"/>
      <c r="E25" s="50" t="n">
        <v>24</v>
      </c>
      <c r="F25" s="186" t="n"/>
      <c r="G25" s="185" t="n"/>
      <c r="H25" s="50" t="n">
        <v>24</v>
      </c>
      <c r="I25" s="186" t="n"/>
      <c r="J25" s="185" t="n"/>
      <c r="K25" s="50" t="n">
        <v>24</v>
      </c>
      <c r="L25" s="186" t="n">
        <v>202180</v>
      </c>
      <c r="M25" s="185" t="n"/>
      <c r="N25" s="50" t="n">
        <v>24</v>
      </c>
      <c r="O25" s="186" t="n">
        <v>240889</v>
      </c>
      <c r="P25" s="185" t="n"/>
      <c r="Q25" s="50" t="n">
        <v>24</v>
      </c>
      <c r="R25" s="186" t="n">
        <v>131452</v>
      </c>
    </row>
    <row r="26">
      <c r="A26" s="185" t="n"/>
      <c r="B26" s="50" t="n">
        <v>25</v>
      </c>
      <c r="C26" s="186" t="n">
        <v>106353</v>
      </c>
      <c r="D26" s="185" t="n"/>
      <c r="E26" s="50" t="n">
        <v>25</v>
      </c>
      <c r="F26" s="186" t="n"/>
      <c r="G26" s="185" t="n"/>
      <c r="H26" s="50" t="n">
        <v>25</v>
      </c>
      <c r="I26" s="186" t="n">
        <v>488381</v>
      </c>
      <c r="J26" s="185" t="n"/>
      <c r="K26" s="50" t="n">
        <v>25</v>
      </c>
      <c r="L26" s="186" t="n"/>
      <c r="M26" s="185" t="n"/>
      <c r="N26" s="50" t="n">
        <v>25</v>
      </c>
      <c r="O26" s="186" t="n">
        <v>204112</v>
      </c>
      <c r="P26" s="185" t="n"/>
      <c r="Q26" s="50" t="n">
        <v>25</v>
      </c>
      <c r="R26" s="186" t="n"/>
    </row>
    <row r="27">
      <c r="A27" s="185" t="n"/>
      <c r="B27" s="50" t="n">
        <v>26</v>
      </c>
      <c r="C27" s="186" t="n"/>
      <c r="D27" s="185" t="n"/>
      <c r="E27" s="50" t="n">
        <v>26</v>
      </c>
      <c r="F27" s="186" t="n"/>
      <c r="G27" s="185" t="n"/>
      <c r="H27" s="50" t="n">
        <v>26</v>
      </c>
      <c r="I27" s="186" t="n">
        <v>277502</v>
      </c>
      <c r="J27" s="185" t="n"/>
      <c r="K27" s="50" t="n">
        <v>26</v>
      </c>
      <c r="L27" s="186" t="n"/>
      <c r="M27" s="185" t="n"/>
      <c r="N27" s="50" t="n">
        <v>26</v>
      </c>
      <c r="O27" s="186" t="n">
        <v>177186</v>
      </c>
      <c r="P27" s="185" t="n"/>
      <c r="Q27" s="50" t="n">
        <v>26</v>
      </c>
      <c r="R27" s="186" t="n">
        <v>354670</v>
      </c>
    </row>
    <row r="28">
      <c r="A28" s="185" t="n"/>
      <c r="B28" s="50" t="n">
        <v>27</v>
      </c>
      <c r="C28" s="186" t="n"/>
      <c r="D28" s="185" t="n"/>
      <c r="E28" s="50" t="n">
        <v>27</v>
      </c>
      <c r="F28" s="186" t="n">
        <v>498564</v>
      </c>
      <c r="G28" s="185" t="n"/>
      <c r="H28" s="50" t="n">
        <v>27</v>
      </c>
      <c r="I28" s="186" t="n"/>
      <c r="J28" s="185" t="n"/>
      <c r="K28" s="50" t="n">
        <v>27</v>
      </c>
      <c r="L28" s="186" t="n">
        <v>224675</v>
      </c>
      <c r="M28" s="185" t="n"/>
      <c r="N28" s="50" t="n">
        <v>27</v>
      </c>
      <c r="O28" s="186" t="n">
        <v>572215</v>
      </c>
      <c r="P28" s="185" t="n"/>
      <c r="Q28" s="50" t="n">
        <v>27</v>
      </c>
      <c r="R28" s="186" t="n"/>
    </row>
    <row r="29">
      <c r="A29" s="185" t="n"/>
      <c r="B29" s="50" t="n">
        <v>28</v>
      </c>
      <c r="C29" s="186" t="n"/>
      <c r="D29" s="185" t="n"/>
      <c r="E29" s="50" t="n">
        <v>28</v>
      </c>
      <c r="F29" s="186" t="n">
        <v>335880</v>
      </c>
      <c r="G29" s="185" t="n"/>
      <c r="H29" s="50" t="n">
        <v>28</v>
      </c>
      <c r="I29" s="186" t="n"/>
      <c r="J29" s="185" t="n"/>
      <c r="K29" s="50" t="n">
        <v>28</v>
      </c>
      <c r="L29" s="186" t="n">
        <v>217028</v>
      </c>
      <c r="M29" s="185" t="n"/>
      <c r="N29" s="50" t="n">
        <v>28</v>
      </c>
      <c r="O29" s="186" t="n">
        <v>283281</v>
      </c>
      <c r="P29" s="185" t="n"/>
      <c r="Q29" s="50" t="n">
        <v>28</v>
      </c>
      <c r="R29" s="186" t="n"/>
    </row>
    <row r="30">
      <c r="A30" s="185" t="n"/>
      <c r="B30" s="50" t="n">
        <v>29</v>
      </c>
      <c r="C30" s="186" t="n">
        <v>336916</v>
      </c>
      <c r="D30" s="185" t="n"/>
      <c r="E30" s="50" t="n">
        <v>29</v>
      </c>
      <c r="F30" s="186" t="n"/>
      <c r="G30" s="185" t="n"/>
      <c r="H30" s="50" t="n">
        <v>29</v>
      </c>
      <c r="I30" s="186" t="n">
        <v>149513</v>
      </c>
      <c r="J30" s="185" t="n"/>
      <c r="K30" s="50" t="n">
        <v>29</v>
      </c>
      <c r="L30" s="186" t="n"/>
      <c r="M30" s="185" t="n"/>
      <c r="N30" s="50" t="n">
        <v>29</v>
      </c>
      <c r="O30" s="186" t="n"/>
      <c r="P30" s="185" t="n"/>
      <c r="Q30" s="50" t="n">
        <v>29</v>
      </c>
      <c r="R30" s="186" t="n">
        <v>310420</v>
      </c>
    </row>
    <row r="31">
      <c r="A31" s="185" t="n"/>
      <c r="B31" s="50" t="n">
        <v>30</v>
      </c>
      <c r="C31" s="186" t="n"/>
      <c r="D31" s="185" t="n"/>
      <c r="E31" s="50" t="n">
        <v>30</v>
      </c>
      <c r="F31" s="186" t="n">
        <v>226676</v>
      </c>
      <c r="G31" s="185" t="n"/>
      <c r="H31" s="50" t="n">
        <v>30</v>
      </c>
      <c r="I31" s="186" t="n">
        <v>176718</v>
      </c>
      <c r="J31" s="185" t="n"/>
      <c r="K31" s="50" t="n">
        <v>30</v>
      </c>
      <c r="L31" s="186" t="n">
        <v>670943</v>
      </c>
      <c r="M31" s="185" t="n"/>
      <c r="N31" s="50" t="n">
        <v>30</v>
      </c>
      <c r="O31" s="186" t="n"/>
      <c r="P31" s="185" t="n"/>
      <c r="Q31" s="50" t="n">
        <v>30</v>
      </c>
      <c r="R31" s="186" t="n">
        <v>169543</v>
      </c>
    </row>
    <row r="32" ht="17.5" customHeight="1" thickBot="1">
      <c r="A32" s="187" t="n"/>
      <c r="B32" s="66" t="n">
        <v>31</v>
      </c>
      <c r="C32" s="188" t="n">
        <v>496269</v>
      </c>
      <c r="D32" s="187" t="n"/>
      <c r="E32" s="66" t="n">
        <v>31</v>
      </c>
      <c r="F32" s="188" t="n"/>
      <c r="G32" s="187" t="n"/>
      <c r="H32" s="66" t="n">
        <v>31</v>
      </c>
      <c r="I32" s="188" t="n"/>
      <c r="J32" s="187" t="n"/>
      <c r="K32" s="66" t="n">
        <v>31</v>
      </c>
      <c r="L32" s="188" t="n">
        <v>259504</v>
      </c>
      <c r="M32" s="187" t="n"/>
      <c r="N32" s="66" t="n">
        <v>31</v>
      </c>
      <c r="O32" s="188" t="n"/>
      <c r="P32" s="187" t="n"/>
      <c r="Q32" s="66" t="n">
        <v>31</v>
      </c>
      <c r="R32" s="188" t="n">
        <v>247332</v>
      </c>
    </row>
    <row r="33" ht="29.5" customHeight="1" thickBot="1">
      <c r="A33" s="119" t="inlineStr">
        <is>
          <t>합 계</t>
        </is>
      </c>
      <c r="B33" s="128" t="n"/>
      <c r="C33" s="189">
        <f>SUM(C2:C32)</f>
        <v/>
      </c>
      <c r="D33" s="119" t="inlineStr">
        <is>
          <t>합 계</t>
        </is>
      </c>
      <c r="E33" s="128" t="n"/>
      <c r="F33" s="189">
        <f>SUM(F2:F32)</f>
        <v/>
      </c>
      <c r="G33" s="119" t="inlineStr">
        <is>
          <t>합 계</t>
        </is>
      </c>
      <c r="H33" s="128" t="n"/>
      <c r="I33" s="189">
        <f>SUM(I2:I32)</f>
        <v/>
      </c>
      <c r="J33" s="119" t="inlineStr">
        <is>
          <t>합 계</t>
        </is>
      </c>
      <c r="K33" s="128" t="n"/>
      <c r="L33" s="189">
        <f>SUM(L2:L32)</f>
        <v/>
      </c>
      <c r="M33" s="119" t="inlineStr">
        <is>
          <t>합 계</t>
        </is>
      </c>
      <c r="N33" s="128" t="n"/>
      <c r="O33" s="189">
        <f>SUM(O2:O32)</f>
        <v/>
      </c>
      <c r="P33" s="119" t="inlineStr">
        <is>
          <t>합 계</t>
        </is>
      </c>
      <c r="Q33" s="128" t="n"/>
      <c r="R33" s="189">
        <f>SUM(R2:R32)</f>
        <v/>
      </c>
    </row>
  </sheetData>
  <mergeCells count="13">
    <mergeCell ref="G2:G32"/>
    <mergeCell ref="D33:E33"/>
    <mergeCell ref="A2:A32"/>
    <mergeCell ref="A33:B33"/>
    <mergeCell ref="G33:H33"/>
    <mergeCell ref="J2:J32"/>
    <mergeCell ref="J33:K33"/>
    <mergeCell ref="M33:N33"/>
    <mergeCell ref="A1:R1"/>
    <mergeCell ref="P33:Q33"/>
    <mergeCell ref="M2:M32"/>
    <mergeCell ref="D2:D32"/>
    <mergeCell ref="P2:P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6"/>
  <sheetViews>
    <sheetView topLeftCell="A2" zoomScaleNormal="100" workbookViewId="0">
      <pane ySplit="1" topLeftCell="A3" activePane="bottomLeft" state="frozen"/>
      <selection activeCell="A2" sqref="A2"/>
      <selection pane="bottomLeft" activeCell="AF19" sqref="AF19"/>
    </sheetView>
  </sheetViews>
  <sheetFormatPr baseColWidth="8" defaultRowHeight="17"/>
  <cols>
    <col width="21.1640625" customWidth="1" style="2" min="1" max="1"/>
    <col width="12.25" customWidth="1" style="124" min="2" max="10"/>
    <col width="13.58203125" customWidth="1" style="124" min="11" max="11"/>
    <col width="12.25" customWidth="1" style="124" min="12" max="30"/>
    <col width="14.25" customWidth="1" style="124" min="31" max="31"/>
    <col width="14.4140625" customWidth="1" style="124" min="32" max="32"/>
    <col width="14.4140625" customWidth="1" style="2" min="33" max="33"/>
    <col width="8.6640625" customWidth="1" style="2" min="34" max="16384"/>
  </cols>
  <sheetData>
    <row r="1" hidden="1" ht="38" customHeight="1" thickBot="1">
      <c r="A1" s="121" t="inlineStr">
        <is>
          <t>일별 거래내역서 (2025.9월)</t>
        </is>
      </c>
    </row>
    <row r="2" ht="24" customHeight="1">
      <c r="A2" s="8" t="n"/>
      <c r="B2" s="190" t="n">
        <v>1</v>
      </c>
      <c r="C2" s="191" t="n">
        <v>2</v>
      </c>
      <c r="D2" s="191" t="n">
        <v>3</v>
      </c>
      <c r="E2" s="191" t="n">
        <v>4</v>
      </c>
      <c r="F2" s="191" t="n">
        <v>5</v>
      </c>
      <c r="G2" s="191" t="n">
        <v>6</v>
      </c>
      <c r="H2" s="191" t="n">
        <v>7</v>
      </c>
      <c r="I2" s="191" t="n">
        <v>8</v>
      </c>
      <c r="J2" s="191" t="n">
        <v>9</v>
      </c>
      <c r="K2" s="191" t="n">
        <v>10</v>
      </c>
      <c r="L2" s="191" t="n">
        <v>11</v>
      </c>
      <c r="M2" s="191" t="n">
        <v>12</v>
      </c>
      <c r="N2" s="191" t="n">
        <v>13</v>
      </c>
      <c r="O2" s="191" t="n">
        <v>14</v>
      </c>
      <c r="P2" s="191" t="n">
        <v>15</v>
      </c>
      <c r="Q2" s="191" t="n">
        <v>16</v>
      </c>
      <c r="R2" s="191" t="n">
        <v>17</v>
      </c>
      <c r="S2" s="191" t="n">
        <v>18</v>
      </c>
      <c r="T2" s="191" t="n">
        <v>19</v>
      </c>
      <c r="U2" s="191" t="n">
        <v>20</v>
      </c>
      <c r="V2" s="191" t="n">
        <v>21</v>
      </c>
      <c r="W2" s="191" t="n">
        <v>22</v>
      </c>
      <c r="X2" s="191" t="n">
        <v>23</v>
      </c>
      <c r="Y2" s="191" t="n">
        <v>24</v>
      </c>
      <c r="Z2" s="191" t="n">
        <v>25</v>
      </c>
      <c r="AA2" s="191" t="n">
        <v>26</v>
      </c>
      <c r="AB2" s="191" t="n">
        <v>27</v>
      </c>
      <c r="AC2" s="191" t="n">
        <v>28</v>
      </c>
      <c r="AD2" s="191" t="n">
        <v>29</v>
      </c>
      <c r="AE2" s="192" t="n">
        <v>30</v>
      </c>
      <c r="AF2" s="192" t="n">
        <v>31</v>
      </c>
      <c r="AG2" s="19" t="n"/>
    </row>
    <row r="3">
      <c r="A3" s="9" t="inlineStr">
        <is>
          <t>고구마켓</t>
        </is>
      </c>
      <c r="B3" s="144" t="n"/>
      <c r="C3" s="145" t="n">
        <v>381210</v>
      </c>
      <c r="D3" s="145" t="n"/>
      <c r="E3" s="145" t="n"/>
      <c r="F3" s="145" t="n"/>
      <c r="G3" s="145" t="n"/>
      <c r="H3" s="145" t="n"/>
      <c r="I3" s="145" t="n"/>
      <c r="J3" s="145" t="n">
        <v>163500</v>
      </c>
      <c r="K3" s="145" t="n">
        <v>169500</v>
      </c>
      <c r="L3" s="145" t="n"/>
      <c r="M3" s="145" t="n"/>
      <c r="N3" s="145" t="n">
        <v>56500</v>
      </c>
      <c r="O3" s="145" t="n">
        <v>226000</v>
      </c>
      <c r="P3" s="145" t="n"/>
      <c r="Q3" s="145" t="n"/>
      <c r="R3" s="145" t="n"/>
      <c r="S3" s="145" t="n"/>
      <c r="T3" s="145" t="n"/>
      <c r="U3" s="145" t="n"/>
      <c r="V3" s="145" t="n">
        <v>339000</v>
      </c>
      <c r="W3" s="145" t="n"/>
      <c r="X3" s="145" t="n"/>
      <c r="Y3" s="145" t="n"/>
      <c r="Z3" s="145" t="n"/>
      <c r="AA3" s="145" t="n">
        <v>226000</v>
      </c>
      <c r="AB3" s="145" t="n"/>
      <c r="AC3" s="145" t="n"/>
      <c r="AD3" s="145" t="n"/>
      <c r="AE3" s="146" t="n">
        <v>395500</v>
      </c>
      <c r="AF3" s="146" t="n"/>
      <c r="AG3" s="193">
        <f>SUM(B3:AF3)</f>
        <v/>
      </c>
    </row>
    <row r="4">
      <c r="A4" s="9" t="inlineStr">
        <is>
          <t>찬들농산</t>
        </is>
      </c>
      <c r="B4" s="144" t="n"/>
      <c r="C4" s="145" t="n"/>
      <c r="D4" s="145" t="n">
        <v>140500</v>
      </c>
      <c r="E4" s="145" t="n"/>
      <c r="F4" s="145" t="n"/>
      <c r="G4" s="145" t="n"/>
      <c r="H4" s="145" t="n">
        <v>43500</v>
      </c>
      <c r="I4" s="145" t="n">
        <v>70000</v>
      </c>
      <c r="J4" s="145" t="n"/>
      <c r="K4" s="145" t="n">
        <v>66000</v>
      </c>
      <c r="L4" s="145" t="n"/>
      <c r="M4" s="145" t="n"/>
      <c r="N4" s="145" t="n"/>
      <c r="O4" s="145" t="n">
        <v>98000</v>
      </c>
      <c r="P4" s="145" t="n"/>
      <c r="Q4" s="145" t="n"/>
      <c r="R4" s="145" t="n">
        <v>36500</v>
      </c>
      <c r="S4" s="145" t="n">
        <v>34000</v>
      </c>
      <c r="T4" s="145" t="n"/>
      <c r="U4" s="145" t="n"/>
      <c r="V4" s="145" t="n">
        <v>84000</v>
      </c>
      <c r="W4" s="145" t="n">
        <v>34000</v>
      </c>
      <c r="X4" s="145" t="n"/>
      <c r="Y4" s="145" t="n">
        <v>75000</v>
      </c>
      <c r="Z4" s="145" t="n">
        <v>67000</v>
      </c>
      <c r="AA4" s="145" t="n"/>
      <c r="AB4" s="145" t="n"/>
      <c r="AC4" s="145" t="n"/>
      <c r="AD4" s="145" t="n"/>
      <c r="AE4" s="146" t="n"/>
      <c r="AF4" s="146" t="n"/>
      <c r="AG4" s="193">
        <f>SUM(B4:AF4)</f>
        <v/>
      </c>
    </row>
    <row r="5">
      <c r="A5" s="9" t="inlineStr">
        <is>
          <t>홍성상회</t>
        </is>
      </c>
      <c r="B5" s="144" t="n"/>
      <c r="C5" s="145" t="n"/>
      <c r="D5" s="145" t="n">
        <v>64000</v>
      </c>
      <c r="E5" s="145" t="n"/>
      <c r="F5" s="145" t="n"/>
      <c r="G5" s="145" t="n"/>
      <c r="H5" s="145" t="n">
        <v>64000</v>
      </c>
      <c r="I5" s="145" t="n"/>
      <c r="J5" s="145" t="n"/>
      <c r="K5" s="145" t="n"/>
      <c r="L5" s="145" t="n"/>
      <c r="M5" s="145" t="n"/>
      <c r="N5" s="145" t="n"/>
      <c r="O5" s="145" t="n">
        <v>128000</v>
      </c>
      <c r="P5" s="145" t="n"/>
      <c r="Q5" s="145" t="n"/>
      <c r="R5" s="145" t="n">
        <v>32000</v>
      </c>
      <c r="S5" s="145" t="n"/>
      <c r="T5" s="145" t="n"/>
      <c r="U5" s="145" t="n"/>
      <c r="V5" s="145" t="n"/>
      <c r="W5" s="145" t="n">
        <v>64000</v>
      </c>
      <c r="X5" s="145" t="n"/>
      <c r="Y5" s="145" t="n"/>
      <c r="Z5" s="145" t="n"/>
      <c r="AA5" s="145" t="n"/>
      <c r="AB5" s="145" t="n"/>
      <c r="AC5" s="145" t="n"/>
      <c r="AD5" s="145" t="n"/>
      <c r="AE5" s="146" t="n"/>
      <c r="AF5" s="146" t="n"/>
      <c r="AG5" s="193">
        <f>SUM(B5:AF5)</f>
        <v/>
      </c>
    </row>
    <row r="6">
      <c r="A6" s="9" t="inlineStr">
        <is>
          <t>조양마트</t>
        </is>
      </c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6" t="n"/>
      <c r="AF6" s="146" t="n"/>
      <c r="AG6" s="193">
        <f>SUM(B6:AF6)</f>
        <v/>
      </c>
    </row>
    <row r="7">
      <c r="A7" s="9" t="inlineStr">
        <is>
          <t>㈜용담유통</t>
        </is>
      </c>
      <c r="B7" s="144" t="n"/>
      <c r="C7" s="145" t="n">
        <v>14600</v>
      </c>
      <c r="D7" s="145" t="n">
        <v>21900</v>
      </c>
      <c r="E7" s="145" t="n"/>
      <c r="F7" s="145" t="n"/>
      <c r="G7" s="145" t="n"/>
      <c r="H7" s="145" t="n">
        <v>7300</v>
      </c>
      <c r="I7" s="145" t="n">
        <v>29200</v>
      </c>
      <c r="J7" s="145" t="n"/>
      <c r="K7" s="145" t="n"/>
      <c r="L7" s="145" t="n"/>
      <c r="M7" s="145" t="n"/>
      <c r="N7" s="145" t="n"/>
      <c r="O7" s="145" t="n">
        <v>29200</v>
      </c>
      <c r="P7" s="145" t="n"/>
      <c r="Q7" s="145" t="n"/>
      <c r="R7" s="145" t="n">
        <v>29200</v>
      </c>
      <c r="S7" s="145" t="n">
        <v>14600</v>
      </c>
      <c r="T7" s="145" t="n"/>
      <c r="U7" s="145" t="n"/>
      <c r="V7" s="145" t="n">
        <v>14000</v>
      </c>
      <c r="W7" s="145" t="n">
        <v>15200</v>
      </c>
      <c r="X7" s="145" t="n"/>
      <c r="Y7" s="145" t="n">
        <v>14600</v>
      </c>
      <c r="Z7" s="145" t="n">
        <v>14600</v>
      </c>
      <c r="AA7" s="145" t="n"/>
      <c r="AB7" s="145" t="n"/>
      <c r="AC7" s="145" t="n"/>
      <c r="AD7" s="145" t="n"/>
      <c r="AE7" s="146" t="n"/>
      <c r="AF7" s="146" t="n"/>
      <c r="AG7" s="193">
        <f>SUM(B7:AF7)</f>
        <v/>
      </c>
    </row>
    <row r="8">
      <c r="A8" s="9" t="inlineStr">
        <is>
          <t>㈜에코두레</t>
        </is>
      </c>
      <c r="B8" s="144" t="n"/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6" t="n"/>
      <c r="AF8" s="146" t="n"/>
      <c r="AG8" s="193">
        <f>SUM(B8:AF8)</f>
        <v/>
      </c>
    </row>
    <row r="9">
      <c r="A9" s="9" t="inlineStr">
        <is>
          <t>코스트코</t>
        </is>
      </c>
      <c r="B9" s="144" t="n"/>
      <c r="C9" s="145" t="n"/>
      <c r="D9" s="145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>
        <v>247500</v>
      </c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6" t="n"/>
      <c r="AF9" s="146" t="n"/>
      <c r="AG9" s="193">
        <f>SUM(B9:AF9)</f>
        <v/>
      </c>
    </row>
    <row r="10">
      <c r="A10" s="9" t="inlineStr">
        <is>
          <t>트레이더스</t>
        </is>
      </c>
      <c r="B10" s="144" t="n"/>
      <c r="C10" s="145" t="n"/>
      <c r="D10" s="145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6" t="n"/>
      <c r="AF10" s="146" t="n"/>
      <c r="AG10" s="193">
        <f>SUM(B10:AF10)</f>
        <v/>
      </c>
    </row>
    <row r="11">
      <c r="A11" s="9" t="inlineStr">
        <is>
          <t>이마트</t>
        </is>
      </c>
      <c r="B11" s="144" t="n"/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6" t="n"/>
      <c r="AF11" s="146" t="n"/>
      <c r="AG11" s="193">
        <f>SUM(B11:AF11)</f>
        <v/>
      </c>
    </row>
    <row r="12">
      <c r="A12" s="9" t="inlineStr">
        <is>
          <t>상대유통㈜</t>
        </is>
      </c>
      <c r="B12" s="144" t="n"/>
      <c r="C12" s="145" t="n"/>
      <c r="D12" s="145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  <c r="AA12" s="145" t="n"/>
      <c r="AB12" s="145" t="n"/>
      <c r="AC12" s="145" t="n"/>
      <c r="AD12" s="145" t="n"/>
      <c r="AE12" s="146" t="n"/>
      <c r="AF12" s="146" t="n"/>
      <c r="AG12" s="193">
        <f>SUM(B12:AF12)</f>
        <v/>
      </c>
    </row>
    <row r="13">
      <c r="A13" s="9" t="inlineStr">
        <is>
          <t>다농마트</t>
        </is>
      </c>
      <c r="B13" s="144" t="n"/>
      <c r="C13" s="145" t="n"/>
      <c r="D13" s="145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  <c r="AA13" s="145" t="n"/>
      <c r="AB13" s="145" t="n"/>
      <c r="AC13" s="145" t="n"/>
      <c r="AD13" s="145" t="n"/>
      <c r="AE13" s="146" t="n"/>
      <c r="AF13" s="146" t="n"/>
      <c r="AG13" s="193">
        <f>SUM(B13:AF13)</f>
        <v/>
      </c>
    </row>
    <row r="14">
      <c r="A14" s="9" t="inlineStr">
        <is>
          <t>(주)유창</t>
        </is>
      </c>
      <c r="B14" s="144" t="n"/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  <c r="AA14" s="145" t="n"/>
      <c r="AB14" s="145" t="n"/>
      <c r="AC14" s="145" t="n"/>
      <c r="AD14" s="145" t="n"/>
      <c r="AE14" s="146" t="n"/>
      <c r="AF14" s="146" t="n"/>
      <c r="AG14" s="193">
        <f>SUM(B14:AF14)</f>
        <v/>
      </c>
    </row>
    <row r="15">
      <c r="A15" s="9" t="inlineStr">
        <is>
          <t>대한유통</t>
        </is>
      </c>
      <c r="B15" s="144" t="n"/>
      <c r="C15" s="145" t="n"/>
      <c r="D15" s="145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>
        <v>296000</v>
      </c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  <c r="AA15" s="145" t="n"/>
      <c r="AB15" s="145" t="n"/>
      <c r="AC15" s="145" t="n"/>
      <c r="AD15" s="145" t="n"/>
      <c r="AE15" s="146" t="n"/>
      <c r="AF15" s="146" t="n">
        <v>1584800</v>
      </c>
      <c r="AG15" s="193">
        <f>SUM(B15:AF15)</f>
        <v/>
      </c>
    </row>
    <row r="16">
      <c r="A16" s="9" t="inlineStr">
        <is>
          <t>재우상회</t>
        </is>
      </c>
      <c r="B16" s="144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  <c r="AA16" s="145" t="n"/>
      <c r="AB16" s="145" t="n"/>
      <c r="AC16" s="145" t="n"/>
      <c r="AD16" s="145" t="n"/>
      <c r="AE16" s="146" t="n"/>
      <c r="AF16" s="146" t="n"/>
      <c r="AG16" s="193">
        <f>SUM(B16:AF16)</f>
        <v/>
      </c>
    </row>
    <row r="17">
      <c r="A17" s="9" t="inlineStr">
        <is>
          <t>㈜에스에프앤비</t>
        </is>
      </c>
      <c r="B17" s="144" t="n"/>
      <c r="C17" s="145" t="n"/>
      <c r="D17" s="145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6" t="n"/>
      <c r="AF17" s="146" t="n"/>
      <c r="AG17" s="193">
        <f>SUM(B17:AF17)</f>
        <v/>
      </c>
    </row>
    <row r="18">
      <c r="A18" s="9" t="inlineStr">
        <is>
          <t>용산식품</t>
        </is>
      </c>
      <c r="B18" s="144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6" t="n"/>
      <c r="AF18" s="146" t="n"/>
      <c r="AG18" s="193">
        <f>SUM(B18:AF18)</f>
        <v/>
      </c>
    </row>
    <row r="19">
      <c r="A19" s="9" t="inlineStr">
        <is>
          <t>쿠팡</t>
        </is>
      </c>
      <c r="B19" s="144" t="n"/>
      <c r="C19" s="145" t="n"/>
      <c r="D19" s="145" t="n"/>
      <c r="E19" s="145" t="n">
        <v>115040</v>
      </c>
      <c r="F19" s="145" t="n"/>
      <c r="G19" s="145" t="n"/>
      <c r="H19" s="145" t="n">
        <v>7890</v>
      </c>
      <c r="I19" s="145" t="n"/>
      <c r="J19" s="145" t="n"/>
      <c r="K19" s="145" t="n"/>
      <c r="L19" s="145" t="n"/>
      <c r="M19" s="145" t="n">
        <v>16720</v>
      </c>
      <c r="N19" s="145" t="n"/>
      <c r="O19" s="145" t="n"/>
      <c r="P19" s="145" t="n">
        <v>16720</v>
      </c>
      <c r="Q19" s="145" t="n">
        <v>41130</v>
      </c>
      <c r="R19" s="145" t="n"/>
      <c r="S19" s="145" t="n"/>
      <c r="T19" s="145" t="n"/>
      <c r="U19" s="145" t="n"/>
      <c r="V19" s="145" t="n">
        <v>18110</v>
      </c>
      <c r="W19" s="145" t="n"/>
      <c r="X19" s="145" t="n">
        <v>41550</v>
      </c>
      <c r="Y19" s="145" t="n"/>
      <c r="Z19" s="145" t="n"/>
      <c r="AA19" s="145" t="n"/>
      <c r="AB19" s="145" t="n">
        <v>22960</v>
      </c>
      <c r="AC19" s="145" t="n"/>
      <c r="AD19" s="145" t="n"/>
      <c r="AE19" s="146" t="n"/>
      <c r="AF19" s="146" t="n">
        <v>85130</v>
      </c>
      <c r="AG19" s="193">
        <f>SUM(B19:AF19)</f>
        <v/>
      </c>
    </row>
    <row r="20">
      <c r="A20" s="9" t="inlineStr">
        <is>
          <t>배민상회</t>
        </is>
      </c>
      <c r="B20" s="144" t="n"/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6" t="n"/>
      <c r="AF20" s="146" t="n"/>
      <c r="AG20" s="193">
        <f>SUM(B20:AF20)</f>
        <v/>
      </c>
    </row>
    <row r="21">
      <c r="A21" s="9" t="inlineStr">
        <is>
          <t>다인푸드닷컴</t>
        </is>
      </c>
      <c r="B21" s="144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  <c r="AA21" s="145" t="n"/>
      <c r="AB21" s="145" t="n"/>
      <c r="AC21" s="145" t="n"/>
      <c r="AD21" s="145" t="n"/>
      <c r="AE21" s="146" t="n"/>
      <c r="AF21" s="146" t="n"/>
      <c r="AG21" s="193">
        <f>SUM(B21:AF21)</f>
        <v/>
      </c>
    </row>
    <row r="22">
      <c r="A22" s="9" t="inlineStr">
        <is>
          <t>㈜한주주방아웃렛</t>
        </is>
      </c>
      <c r="B22" s="144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6" t="n"/>
      <c r="AF22" s="146" t="n"/>
      <c r="AG22" s="193">
        <f>SUM(B22:AF22)</f>
        <v/>
      </c>
    </row>
    <row r="23">
      <c r="A23" s="9" t="inlineStr">
        <is>
          <t>㈜신진상사</t>
        </is>
      </c>
      <c r="B23" s="144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  <c r="AA23" s="145" t="n"/>
      <c r="AB23" s="145" t="n"/>
      <c r="AC23" s="145" t="n"/>
      <c r="AD23" s="145" t="n"/>
      <c r="AE23" s="146" t="n"/>
      <c r="AF23" s="146" t="n"/>
      <c r="AG23" s="193">
        <f>SUM(B23:AF23)</f>
        <v/>
      </c>
    </row>
    <row r="24">
      <c r="A24" s="9" t="inlineStr">
        <is>
          <t>창미포장기계(유용운)</t>
        </is>
      </c>
      <c r="B24" s="144" t="n"/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>
        <v>65120</v>
      </c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6" t="n"/>
      <c r="AF24" s="146" t="n"/>
      <c r="AG24" s="193">
        <f>SUM(B24:AF24)</f>
        <v/>
      </c>
    </row>
    <row r="25">
      <c r="A25" s="9" t="inlineStr">
        <is>
          <t>새로피엔엘</t>
        </is>
      </c>
      <c r="B25" s="144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  <c r="AA25" s="145" t="n"/>
      <c r="AB25" s="145" t="n"/>
      <c r="AC25" s="145" t="n"/>
      <c r="AD25" s="145" t="n"/>
      <c r="AE25" s="146" t="n"/>
      <c r="AF25" s="146" t="n"/>
      <c r="AG25" s="193">
        <f>SUM(B25:AF25)</f>
        <v/>
      </c>
    </row>
    <row r="26">
      <c r="A26" s="9" t="inlineStr">
        <is>
          <t>365하수구</t>
        </is>
      </c>
      <c r="B26" s="144" t="n">
        <v>330000</v>
      </c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6" t="n"/>
      <c r="AF26" s="146" t="n"/>
      <c r="AG26" s="193">
        <f>SUM(B26:AF26)</f>
        <v/>
      </c>
    </row>
    <row r="27">
      <c r="A27" s="9" t="inlineStr">
        <is>
          <t>세진햇김</t>
        </is>
      </c>
      <c r="B27" s="144" t="n"/>
      <c r="C27" s="145" t="n"/>
      <c r="D27" s="145" t="n"/>
      <c r="E27" s="145" t="n"/>
      <c r="F27" s="145" t="n"/>
      <c r="G27" s="145" t="n"/>
      <c r="H27" s="145" t="n"/>
      <c r="I27" s="145" t="n"/>
      <c r="J27" s="145" t="n">
        <v>196000</v>
      </c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6" t="n"/>
      <c r="AF27" s="146" t="n"/>
      <c r="AG27" s="194" t="n"/>
    </row>
    <row r="28" ht="17.5" customHeight="1" thickBot="1">
      <c r="A28" s="9" t="inlineStr">
        <is>
          <t>태영유통</t>
        </is>
      </c>
      <c r="B28" s="144" t="n"/>
      <c r="C28" s="145" t="n"/>
      <c r="D28" s="145" t="n"/>
      <c r="E28" s="145" t="n"/>
      <c r="F28" s="145" t="n"/>
      <c r="G28" s="145" t="n"/>
      <c r="H28" s="145" t="n"/>
      <c r="I28" s="145" t="n"/>
      <c r="J28" s="145" t="n"/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  <c r="AA28" s="145" t="n"/>
      <c r="AB28" s="145" t="n"/>
      <c r="AC28" s="145" t="n"/>
      <c r="AD28" s="145" t="n"/>
      <c r="AE28" s="146" t="n"/>
      <c r="AF28" s="146" t="n"/>
      <c r="AG28" s="194">
        <f>SUM(B28:AF28)</f>
        <v/>
      </c>
    </row>
    <row r="29" ht="29" customHeight="1" thickBot="1">
      <c r="A29" s="10" t="n"/>
      <c r="B29" s="195">
        <f>SUM(B3:B28)</f>
        <v/>
      </c>
      <c r="C29" s="195">
        <f>SUM(C3:C28)</f>
        <v/>
      </c>
      <c r="D29" s="195">
        <f>SUM(D3:D28)</f>
        <v/>
      </c>
      <c r="E29" s="195">
        <f>SUM(E3:E28)</f>
        <v/>
      </c>
      <c r="F29" s="195">
        <f>SUM(F3:F28)</f>
        <v/>
      </c>
      <c r="G29" s="195">
        <f>SUM(G3:G28)</f>
        <v/>
      </c>
      <c r="H29" s="195">
        <f>SUM(H3:H28)</f>
        <v/>
      </c>
      <c r="I29" s="195">
        <f>SUM(I3:I28)</f>
        <v/>
      </c>
      <c r="J29" s="195">
        <f>SUM(J3:J28)</f>
        <v/>
      </c>
      <c r="K29" s="195">
        <f>SUM(K3:K28)</f>
        <v/>
      </c>
      <c r="L29" s="195">
        <f>SUM(L3:L28)</f>
        <v/>
      </c>
      <c r="M29" s="195">
        <f>SUM(M3:M28)</f>
        <v/>
      </c>
      <c r="N29" s="195">
        <f>SUM(N3:N28)</f>
        <v/>
      </c>
      <c r="O29" s="195">
        <f>SUM(O3:O28)</f>
        <v/>
      </c>
      <c r="P29" s="195">
        <f>SUM(P3:P28)</f>
        <v/>
      </c>
      <c r="Q29" s="195">
        <f>SUM(Q3:Q28)</f>
        <v/>
      </c>
      <c r="R29" s="195">
        <f>SUM(R3:R28)</f>
        <v/>
      </c>
      <c r="S29" s="195">
        <f>SUM(S3:S28)</f>
        <v/>
      </c>
      <c r="T29" s="195">
        <f>SUM(T3:T28)</f>
        <v/>
      </c>
      <c r="U29" s="195">
        <f>SUM(U3:U28)</f>
        <v/>
      </c>
      <c r="V29" s="195">
        <f>SUM(V3:V28)</f>
        <v/>
      </c>
      <c r="W29" s="195">
        <f>SUM(W3:W28)</f>
        <v/>
      </c>
      <c r="X29" s="195">
        <f>SUM(X3:X28)</f>
        <v/>
      </c>
      <c r="Y29" s="195">
        <f>SUM(Y3:Y28)</f>
        <v/>
      </c>
      <c r="Z29" s="195">
        <f>SUM(Z3:Z28)</f>
        <v/>
      </c>
      <c r="AA29" s="195">
        <f>SUM(AA3:AA28)</f>
        <v/>
      </c>
      <c r="AB29" s="195">
        <f>SUM(AB3:AB28)</f>
        <v/>
      </c>
      <c r="AC29" s="195">
        <f>SUM(AC3:AC28)</f>
        <v/>
      </c>
      <c r="AD29" s="195">
        <f>SUM(AD3:AD28)</f>
        <v/>
      </c>
      <c r="AE29" s="196" t="n"/>
      <c r="AF29" s="196">
        <f>SUM(AF3:AF28)</f>
        <v/>
      </c>
      <c r="AG29" s="197">
        <f>SUM(B29:AF29)</f>
        <v/>
      </c>
    </row>
    <row r="30">
      <c r="A30" s="14" t="inlineStr">
        <is>
          <t>포유인포텍</t>
        </is>
      </c>
      <c r="B30" s="198" t="n"/>
      <c r="C30" s="199" t="n"/>
      <c r="D30" s="199" t="n"/>
      <c r="E30" s="199" t="n"/>
      <c r="F30" s="199" t="inlineStr">
        <is>
          <t> </t>
        </is>
      </c>
      <c r="G30" s="199" t="n"/>
      <c r="H30" s="199" t="n">
        <v>5500</v>
      </c>
      <c r="I30" s="199" t="n"/>
      <c r="J30" s="199" t="n"/>
      <c r="K30" s="199" t="n"/>
      <c r="L30" s="199" t="n"/>
      <c r="M30" s="199" t="n"/>
      <c r="N30" s="199" t="n"/>
      <c r="O30" s="199" t="n"/>
      <c r="P30" s="199" t="n"/>
      <c r="Q30" s="199" t="n"/>
      <c r="R30" s="199" t="n"/>
      <c r="S30" s="199" t="n"/>
      <c r="T30" s="199" t="n"/>
      <c r="U30" s="199" t="n"/>
      <c r="V30" s="199" t="n"/>
      <c r="W30" s="199" t="n"/>
      <c r="X30" s="199" t="n"/>
      <c r="Y30" s="199" t="n"/>
      <c r="Z30" s="199" t="n"/>
      <c r="AA30" s="199" t="n"/>
      <c r="AB30" s="199" t="n"/>
      <c r="AC30" s="199" t="n"/>
      <c r="AD30" s="199" t="n"/>
      <c r="AE30" s="200" t="n"/>
      <c r="AF30" s="200" t="n"/>
      <c r="AG30" s="201">
        <f>SUM(B30:AF30)</f>
        <v/>
      </c>
    </row>
    <row r="31">
      <c r="A31" s="9" t="inlineStr">
        <is>
          <t>서울특징</t>
        </is>
      </c>
      <c r="B31" s="144" t="n"/>
      <c r="C31" s="145" t="n">
        <v>54070</v>
      </c>
      <c r="D31" s="145" t="n"/>
      <c r="E31" s="145" t="n"/>
      <c r="F31" s="145" t="n"/>
      <c r="G31" s="145" t="n"/>
      <c r="H31" s="145" t="n"/>
      <c r="I31" s="145" t="n"/>
      <c r="J31" s="145" t="n"/>
      <c r="K31" s="145" t="n"/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  <c r="AA31" s="145" t="n"/>
      <c r="AB31" s="145" t="n"/>
      <c r="AC31" s="145" t="n"/>
      <c r="AD31" s="145" t="n"/>
      <c r="AE31" s="146" t="n"/>
      <c r="AF31" s="146" t="n"/>
      <c r="AG31" s="202">
        <f>SUM(B31:AF31)</f>
        <v/>
      </c>
    </row>
    <row r="32">
      <c r="A32" s="9" t="inlineStr">
        <is>
          <t>국민건강보험</t>
        </is>
      </c>
      <c r="B32" s="144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5" t="n">
        <v>1155760</v>
      </c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  <c r="AA32" s="145" t="n"/>
      <c r="AB32" s="145" t="n"/>
      <c r="AC32" s="145" t="n"/>
      <c r="AD32" s="145" t="n"/>
      <c r="AE32" s="146" t="n"/>
      <c r="AF32" s="146" t="n"/>
      <c r="AG32" s="202">
        <f>SUM(B32:AF32)</f>
        <v/>
      </c>
    </row>
    <row r="33">
      <c r="A33" s="9" t="inlineStr">
        <is>
          <t>국민연금</t>
        </is>
      </c>
      <c r="B33" s="144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>
        <v>329400</v>
      </c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6" t="n"/>
      <c r="AF33" s="146" t="n"/>
      <c r="AG33" s="202">
        <f>SUM(B33:AF33)</f>
        <v/>
      </c>
    </row>
    <row r="34">
      <c r="A34" s="9" t="inlineStr">
        <is>
          <t>고용보험</t>
        </is>
      </c>
      <c r="B34" s="144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>
        <v>102780</v>
      </c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145" t="n"/>
      <c r="AE34" s="146" t="n"/>
      <c r="AF34" s="146" t="n"/>
      <c r="AG34" s="202">
        <f>SUM(B34:AF34)</f>
        <v/>
      </c>
    </row>
    <row r="35">
      <c r="A35" s="9" t="inlineStr">
        <is>
          <t>산재보험</t>
        </is>
      </c>
      <c r="B35" s="144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>
        <v>90830</v>
      </c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6" t="n"/>
      <c r="AF35" s="146" t="n"/>
      <c r="AG35" s="202">
        <f>SUM(B35:AF35)</f>
        <v/>
      </c>
    </row>
    <row r="36">
      <c r="A36" s="9" t="inlineStr">
        <is>
          <t>SK인텔릭스</t>
        </is>
      </c>
      <c r="B36" s="144" t="n"/>
      <c r="C36" s="145" t="n"/>
      <c r="D36" s="145" t="n"/>
      <c r="E36" s="145" t="n"/>
      <c r="F36" s="145" t="n"/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6" t="n"/>
      <c r="AF36" s="146" t="n"/>
      <c r="AG36" s="202">
        <f>SUM(B36:AF36)</f>
        <v/>
      </c>
    </row>
    <row r="37">
      <c r="A37" s="9" t="inlineStr">
        <is>
          <t>SK매직</t>
        </is>
      </c>
      <c r="B37" s="144" t="n"/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5" t="n">
        <v>25900</v>
      </c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6" t="n"/>
      <c r="AF37" s="146" t="n"/>
      <c r="AG37" s="202" t="n"/>
    </row>
    <row r="38">
      <c r="A38" s="9" t="inlineStr">
        <is>
          <t>KT통신요금</t>
        </is>
      </c>
      <c r="B38" s="144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>
        <v>22870</v>
      </c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6" t="n"/>
      <c r="AF38" s="146" t="n"/>
      <c r="AG38" s="202">
        <f>SUM(B38:AF38)</f>
        <v/>
      </c>
    </row>
    <row r="39">
      <c r="A39" s="9" t="inlineStr">
        <is>
          <t>매리츠화재</t>
        </is>
      </c>
      <c r="B39" s="144" t="n"/>
      <c r="C39" s="145" t="n"/>
      <c r="D39" s="145" t="n"/>
      <c r="E39" s="145" t="n"/>
      <c r="F39" s="145" t="n"/>
      <c r="G39" s="145" t="n"/>
      <c r="H39" s="145" t="n">
        <v>46190</v>
      </c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6" t="n"/>
      <c r="AF39" s="146" t="n"/>
      <c r="AG39" s="203" t="n"/>
    </row>
    <row r="40">
      <c r="A40" s="9" t="inlineStr">
        <is>
          <t>한화손해보험</t>
        </is>
      </c>
      <c r="B40" s="144" t="n"/>
      <c r="C40" s="145" t="n"/>
      <c r="D40" s="145" t="n"/>
      <c r="E40" s="145" t="n"/>
      <c r="F40" s="145" t="n"/>
      <c r="G40" s="145" t="n"/>
      <c r="H40" s="145" t="n">
        <v>30000</v>
      </c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/>
      <c r="AB40" s="145" t="n"/>
      <c r="AC40" s="145" t="n"/>
      <c r="AD40" s="145" t="n"/>
      <c r="AE40" s="146" t="n"/>
      <c r="AF40" s="146" t="n"/>
      <c r="AG40" s="203" t="n"/>
    </row>
    <row r="41">
      <c r="A41" s="9" t="inlineStr">
        <is>
          <t>S1(N5851892)</t>
        </is>
      </c>
      <c r="B41" s="144" t="n"/>
      <c r="C41" s="145" t="n"/>
      <c r="D41" s="145" t="n"/>
      <c r="E41" s="145" t="n"/>
      <c r="F41" s="145" t="n"/>
      <c r="G41" s="145" t="n"/>
      <c r="H41" s="145" t="n">
        <v>44000</v>
      </c>
      <c r="I41" s="145" t="n"/>
      <c r="J41" s="145" t="n"/>
      <c r="K41" s="145" t="n"/>
      <c r="L41" s="145" t="n"/>
      <c r="M41" s="145" t="n"/>
      <c r="N41" s="145" t="n"/>
      <c r="O41" s="145" t="n"/>
      <c r="P41" s="145" t="n"/>
      <c r="Q41" s="145" t="n"/>
      <c r="R41" s="145" t="n"/>
      <c r="S41" s="145" t="n"/>
      <c r="T41" s="145" t="n"/>
      <c r="U41" s="145" t="n"/>
      <c r="V41" s="145" t="n"/>
      <c r="W41" s="145" t="n"/>
      <c r="X41" s="145" t="n"/>
      <c r="Y41" s="145" t="n"/>
      <c r="Z41" s="145" t="n"/>
      <c r="AA41" s="145" t="n"/>
      <c r="AB41" s="145" t="n"/>
      <c r="AC41" s="145" t="n"/>
      <c r="AD41" s="145" t="n"/>
      <c r="AE41" s="146" t="n"/>
      <c r="AF41" s="146" t="n"/>
      <c r="AG41" s="203" t="n"/>
    </row>
    <row r="42" ht="17.5" customHeight="1" thickBot="1">
      <c r="A42" s="9" t="inlineStr">
        <is>
          <t>CM보험</t>
        </is>
      </c>
      <c r="B42" s="144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  <c r="AA42" s="145" t="n"/>
      <c r="AB42" s="145" t="n"/>
      <c r="AC42" s="145" t="n">
        <v>290500</v>
      </c>
      <c r="AD42" s="145" t="n"/>
      <c r="AE42" s="146" t="n"/>
      <c r="AF42" s="146" t="n"/>
      <c r="AG42" s="203">
        <f>SUM(B42:AF42)</f>
        <v/>
      </c>
    </row>
    <row r="43" ht="30" customHeight="1" thickBot="1">
      <c r="A43" s="26" t="n"/>
      <c r="B43" s="204">
        <f>SUM(B30:B42)</f>
        <v/>
      </c>
      <c r="C43" s="204">
        <f>SUM(C30:C42)</f>
        <v/>
      </c>
      <c r="D43" s="204">
        <f>SUM(D30:D42)</f>
        <v/>
      </c>
      <c r="E43" s="204">
        <f>SUM(E30:E42)</f>
        <v/>
      </c>
      <c r="F43" s="204">
        <f>SUM(F30:F42)</f>
        <v/>
      </c>
      <c r="G43" s="204">
        <f>SUM(G30:G42)</f>
        <v/>
      </c>
      <c r="H43" s="204">
        <f>SUM(H30:H42)</f>
        <v/>
      </c>
      <c r="I43" s="204">
        <f>SUM(I30:I42)</f>
        <v/>
      </c>
      <c r="J43" s="204">
        <f>SUM(J30:J42)</f>
        <v/>
      </c>
      <c r="K43" s="204">
        <f>SUM(K30:K42)</f>
        <v/>
      </c>
      <c r="L43" s="204">
        <f>SUM(L30:L42)</f>
        <v/>
      </c>
      <c r="M43" s="204">
        <f>SUM(M30:M42)</f>
        <v/>
      </c>
      <c r="N43" s="204">
        <f>SUM(N30:N42)</f>
        <v/>
      </c>
      <c r="O43" s="204">
        <f>SUM(O30:O42)</f>
        <v/>
      </c>
      <c r="P43" s="204">
        <f>SUM(P30:P42)</f>
        <v/>
      </c>
      <c r="Q43" s="204">
        <f>SUM(Q30:Q42)</f>
        <v/>
      </c>
      <c r="R43" s="204">
        <f>SUM(R30:R42)</f>
        <v/>
      </c>
      <c r="S43" s="204">
        <f>SUM(S30:S42)</f>
        <v/>
      </c>
      <c r="T43" s="204">
        <f>SUM(T30:T42)</f>
        <v/>
      </c>
      <c r="U43" s="204">
        <f>SUM(U30:U42)</f>
        <v/>
      </c>
      <c r="V43" s="204">
        <f>SUM(V30:V42)</f>
        <v/>
      </c>
      <c r="W43" s="204">
        <f>SUM(W30:W42)</f>
        <v/>
      </c>
      <c r="X43" s="204">
        <f>SUM(X30:X42)</f>
        <v/>
      </c>
      <c r="Y43" s="204">
        <f>SUM(Y30:Y42)</f>
        <v/>
      </c>
      <c r="Z43" s="204">
        <f>SUM(Z30:Z42)</f>
        <v/>
      </c>
      <c r="AA43" s="204">
        <f>SUM(AA30:AA42)</f>
        <v/>
      </c>
      <c r="AB43" s="204">
        <f>SUM(AB30:AB42)</f>
        <v/>
      </c>
      <c r="AC43" s="204">
        <f>SUM(AC30:AC42)</f>
        <v/>
      </c>
      <c r="AD43" s="204">
        <f>SUM(AD30:AD42)</f>
        <v/>
      </c>
      <c r="AE43" s="204" t="n"/>
      <c r="AF43" s="204">
        <f>SUM(AF30:AF42)</f>
        <v/>
      </c>
      <c r="AG43" s="205">
        <f>SUM(AG30:AG42)</f>
        <v/>
      </c>
    </row>
    <row r="44">
      <c r="A44" s="9" t="inlineStr">
        <is>
          <t>영존임대료</t>
        </is>
      </c>
      <c r="B44" s="144" t="n"/>
      <c r="C44" s="145" t="n"/>
      <c r="D44" s="145" t="n"/>
      <c r="E44" s="145" t="n"/>
      <c r="F44" s="145" t="n"/>
      <c r="G44" s="145" t="n"/>
      <c r="H44" s="145" t="n"/>
      <c r="I44" s="145" t="n"/>
      <c r="J44" s="145" t="n"/>
      <c r="K44" s="145" t="n"/>
      <c r="L44" s="145" t="n"/>
      <c r="M44" s="145" t="n"/>
      <c r="N44" s="145" t="n"/>
      <c r="O44" s="145" t="n"/>
      <c r="P44" s="145" t="n"/>
      <c r="Q44" s="145" t="n"/>
      <c r="R44" s="145" t="n"/>
      <c r="S44" s="145" t="n"/>
      <c r="T44" s="145" t="n"/>
      <c r="U44" s="145" t="n"/>
      <c r="V44" s="145" t="n"/>
      <c r="W44" s="145" t="n"/>
      <c r="X44" s="145" t="n"/>
      <c r="Y44" s="145" t="n"/>
      <c r="Z44" s="145" t="n"/>
      <c r="AA44" s="145" t="n"/>
      <c r="AB44" s="145" t="n"/>
      <c r="AC44" s="145" t="n"/>
      <c r="AD44" s="145" t="n"/>
      <c r="AE44" s="146" t="n"/>
      <c r="AF44" s="146" t="n">
        <v>4763000</v>
      </c>
      <c r="AG44" s="206">
        <f>SUM(B44:AF44)</f>
        <v/>
      </c>
    </row>
    <row r="45">
      <c r="A45" s="9" t="inlineStr">
        <is>
          <t>영존관리비</t>
        </is>
      </c>
      <c r="B45" s="144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5" t="n"/>
      <c r="L45" s="145" t="n"/>
      <c r="M45" s="145" t="n"/>
      <c r="N45" s="145" t="n"/>
      <c r="O45" s="145" t="n"/>
      <c r="P45" s="145" t="n"/>
      <c r="Q45" s="145" t="n"/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  <c r="AA45" s="145" t="n"/>
      <c r="AB45" s="145" t="n"/>
      <c r="AC45" s="145" t="n"/>
      <c r="AD45" s="145" t="n"/>
      <c r="AE45" s="146" t="n"/>
      <c r="AF45" s="146" t="n">
        <v>1163030</v>
      </c>
      <c r="AG45" s="202">
        <f>SUM(B45:AF45)</f>
        <v/>
      </c>
    </row>
    <row r="46" ht="29.5" customHeight="1" thickBot="1">
      <c r="A46" s="24" t="n"/>
      <c r="B46" s="207">
        <f>SUM(B44:B45)</f>
        <v/>
      </c>
      <c r="C46" s="207">
        <f>SUM(C44:C45)</f>
        <v/>
      </c>
      <c r="D46" s="207">
        <f>SUM(D44:D45)</f>
        <v/>
      </c>
      <c r="E46" s="207">
        <f>SUM(E44:E45)</f>
        <v/>
      </c>
      <c r="F46" s="207">
        <f>SUM(F44:F45)</f>
        <v/>
      </c>
      <c r="G46" s="207">
        <f>SUM(G44:G45)</f>
        <v/>
      </c>
      <c r="H46" s="207">
        <f>SUM(H44:H45)</f>
        <v/>
      </c>
      <c r="I46" s="207">
        <f>SUM(I44:I45)</f>
        <v/>
      </c>
      <c r="J46" s="207">
        <f>SUM(J44:J45)</f>
        <v/>
      </c>
      <c r="K46" s="207">
        <f>SUM(K44:K45)</f>
        <v/>
      </c>
      <c r="L46" s="207">
        <f>SUM(L44:L45)</f>
        <v/>
      </c>
      <c r="M46" s="207">
        <f>SUM(M44:M45)</f>
        <v/>
      </c>
      <c r="N46" s="207">
        <f>SUM(N44:N45)</f>
        <v/>
      </c>
      <c r="O46" s="207">
        <f>SUM(O44:O45)</f>
        <v/>
      </c>
      <c r="P46" s="207">
        <f>SUM(P44:P45)</f>
        <v/>
      </c>
      <c r="Q46" s="207">
        <f>SUM(Q44:Q45)</f>
        <v/>
      </c>
      <c r="R46" s="207">
        <f>SUM(R44:R45)</f>
        <v/>
      </c>
      <c r="S46" s="207">
        <f>SUM(S44:S45)</f>
        <v/>
      </c>
      <c r="T46" s="207">
        <f>SUM(T44:T45)</f>
        <v/>
      </c>
      <c r="U46" s="207">
        <f>SUM(U44:U45)</f>
        <v/>
      </c>
      <c r="V46" s="207">
        <f>SUM(V44:V45)</f>
        <v/>
      </c>
      <c r="W46" s="207">
        <f>SUM(W44:W45)</f>
        <v/>
      </c>
      <c r="X46" s="207">
        <f>SUM(X44:X45)</f>
        <v/>
      </c>
      <c r="Y46" s="207">
        <f>SUM(Y44:Y45)</f>
        <v/>
      </c>
      <c r="Z46" s="207">
        <f>SUM(Z44:Z45)</f>
        <v/>
      </c>
      <c r="AA46" s="207">
        <f>SUM(AA44:AA45)</f>
        <v/>
      </c>
      <c r="AB46" s="207">
        <f>SUM(AB44:AB45)</f>
        <v/>
      </c>
      <c r="AC46" s="207">
        <f>SUM(AC44:AC45)</f>
        <v/>
      </c>
      <c r="AD46" s="207">
        <f>SUM(AD44:AD45)</f>
        <v/>
      </c>
      <c r="AE46" s="207" t="n"/>
      <c r="AF46" s="207">
        <f>SUM(AF44:AF45)</f>
        <v/>
      </c>
      <c r="AG46" s="208">
        <f>SUM(AG44:AG45)</f>
        <v/>
      </c>
    </row>
  </sheetData>
  <mergeCells count="1">
    <mergeCell ref="A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7"/>
  <sheetViews>
    <sheetView topLeftCell="A2" zoomScaleNormal="100" workbookViewId="0">
      <pane ySplit="1" topLeftCell="A3" activePane="bottomLeft" state="frozen"/>
      <selection activeCell="A2" sqref="A2"/>
      <selection pane="bottomLeft" activeCell="AF19" sqref="AF19"/>
    </sheetView>
  </sheetViews>
  <sheetFormatPr baseColWidth="8" defaultRowHeight="17"/>
  <cols>
    <col width="21.1640625" customWidth="1" style="2" min="1" max="1"/>
    <col width="12.25" customWidth="1" style="124" min="2" max="10"/>
    <col width="13.58203125" customWidth="1" style="124" min="11" max="11"/>
    <col width="12.25" customWidth="1" style="124" min="12" max="30"/>
    <col width="14.25" customWidth="1" style="124" min="31" max="31"/>
    <col width="14.4140625" customWidth="1" style="124" min="32" max="32"/>
    <col width="14.4140625" customWidth="1" style="2" min="33" max="33"/>
    <col width="8.6640625" customWidth="1" style="2" min="34" max="16384"/>
  </cols>
  <sheetData>
    <row r="1" hidden="1" ht="38" customHeight="1" thickBot="1">
      <c r="A1" s="121" t="inlineStr">
        <is>
          <t>일별 거래내역서 (2025.9월)</t>
        </is>
      </c>
    </row>
    <row r="2" ht="24" customHeight="1">
      <c r="A2" s="8" t="n"/>
      <c r="B2" s="190" t="n">
        <v>1</v>
      </c>
      <c r="C2" s="191" t="n">
        <v>2</v>
      </c>
      <c r="D2" s="191" t="n">
        <v>3</v>
      </c>
      <c r="E2" s="191" t="n">
        <v>4</v>
      </c>
      <c r="F2" s="191" t="n">
        <v>5</v>
      </c>
      <c r="G2" s="191" t="n">
        <v>6</v>
      </c>
      <c r="H2" s="191" t="n">
        <v>7</v>
      </c>
      <c r="I2" s="191" t="n">
        <v>8</v>
      </c>
      <c r="J2" s="191" t="n">
        <v>9</v>
      </c>
      <c r="K2" s="191" t="n">
        <v>10</v>
      </c>
      <c r="L2" s="191" t="n">
        <v>11</v>
      </c>
      <c r="M2" s="191" t="n">
        <v>12</v>
      </c>
      <c r="N2" s="191" t="n">
        <v>13</v>
      </c>
      <c r="O2" s="191" t="n">
        <v>14</v>
      </c>
      <c r="P2" s="191" t="n">
        <v>15</v>
      </c>
      <c r="Q2" s="191" t="n">
        <v>16</v>
      </c>
      <c r="R2" s="191" t="n">
        <v>17</v>
      </c>
      <c r="S2" s="191" t="n">
        <v>18</v>
      </c>
      <c r="T2" s="191" t="n">
        <v>19</v>
      </c>
      <c r="U2" s="191" t="n">
        <v>20</v>
      </c>
      <c r="V2" s="191" t="n">
        <v>21</v>
      </c>
      <c r="W2" s="191" t="n">
        <v>22</v>
      </c>
      <c r="X2" s="191" t="n">
        <v>23</v>
      </c>
      <c r="Y2" s="191" t="n">
        <v>24</v>
      </c>
      <c r="Z2" s="191" t="n">
        <v>25</v>
      </c>
      <c r="AA2" s="191" t="n">
        <v>26</v>
      </c>
      <c r="AB2" s="191" t="n">
        <v>27</v>
      </c>
      <c r="AC2" s="191" t="n">
        <v>28</v>
      </c>
      <c r="AD2" s="191" t="n">
        <v>29</v>
      </c>
      <c r="AE2" s="192" t="n">
        <v>30</v>
      </c>
      <c r="AF2" s="192" t="n">
        <v>31</v>
      </c>
      <c r="AG2" s="19" t="n"/>
    </row>
    <row r="3">
      <c r="A3" s="9" t="inlineStr">
        <is>
          <t>고구마켓(은제민)</t>
        </is>
      </c>
      <c r="B3" s="144" t="n"/>
      <c r="C3" s="145" t="n">
        <v>169500</v>
      </c>
      <c r="D3" s="145" t="n"/>
      <c r="E3" s="145" t="n"/>
      <c r="F3" s="145" t="n"/>
      <c r="G3" s="145" t="n">
        <v>226000</v>
      </c>
      <c r="H3" s="145" t="n"/>
      <c r="I3" s="145" t="n"/>
      <c r="J3" s="145" t="n"/>
      <c r="K3" s="145" t="n"/>
      <c r="L3" s="145" t="n">
        <v>172500</v>
      </c>
      <c r="M3" s="145" t="n"/>
      <c r="N3" s="145" t="n"/>
      <c r="O3" s="145" t="n"/>
      <c r="P3" s="145" t="n"/>
      <c r="Q3" s="145" t="n"/>
      <c r="R3" s="145" t="n"/>
      <c r="S3" s="145" t="n"/>
      <c r="T3" s="145" t="n">
        <v>292000</v>
      </c>
      <c r="U3" s="145" t="n"/>
      <c r="V3" s="145" t="n"/>
      <c r="W3" s="145" t="n"/>
      <c r="X3" s="145" t="n"/>
      <c r="Y3" s="145" t="n">
        <v>178500</v>
      </c>
      <c r="Z3" s="145" t="n"/>
      <c r="AA3" s="145" t="n"/>
      <c r="AB3" s="145" t="n"/>
      <c r="AC3" s="145" t="n"/>
      <c r="AD3" s="145" t="n"/>
      <c r="AE3" s="146" t="n"/>
      <c r="AF3" s="146" t="n"/>
      <c r="AG3" s="193">
        <f>SUM(B3:AF3)</f>
        <v/>
      </c>
    </row>
    <row r="4">
      <c r="A4" s="9" t="inlineStr">
        <is>
          <t>찬들농산(김영민)</t>
        </is>
      </c>
      <c r="B4" s="144" t="n"/>
      <c r="C4" s="145" t="n"/>
      <c r="D4" s="145" t="n"/>
      <c r="E4" s="145" t="n">
        <v>181500</v>
      </c>
      <c r="F4" s="145" t="n"/>
      <c r="G4" s="145" t="n"/>
      <c r="H4" s="145" t="n"/>
      <c r="I4" s="145" t="n"/>
      <c r="J4" s="145" t="n"/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5" t="n">
        <v>79000</v>
      </c>
      <c r="U4" s="145" t="n"/>
      <c r="V4" s="145" t="n"/>
      <c r="W4" s="145" t="n">
        <v>66000</v>
      </c>
      <c r="X4" s="145" t="n"/>
      <c r="Y4" s="145" t="n"/>
      <c r="Z4" s="145" t="n">
        <v>70000</v>
      </c>
      <c r="AA4" s="145" t="n">
        <v>48000</v>
      </c>
      <c r="AB4" s="145" t="n"/>
      <c r="AC4" s="145" t="n">
        <v>22000</v>
      </c>
      <c r="AD4" s="145" t="n"/>
      <c r="AE4" s="146" t="n"/>
      <c r="AF4" s="146" t="n"/>
      <c r="AG4" s="193">
        <f>SUM(B4:AF4)</f>
        <v/>
      </c>
    </row>
    <row r="5">
      <c r="A5" s="9" t="inlineStr">
        <is>
          <t>홍성상회(최희상)</t>
        </is>
      </c>
      <c r="B5" s="144" t="n"/>
      <c r="C5" s="145" t="n"/>
      <c r="D5" s="145" t="n"/>
      <c r="E5" s="145" t="inlineStr">
        <is>
          <t> </t>
        </is>
      </c>
      <c r="F5" s="145" t="n">
        <v>128000</v>
      </c>
      <c r="G5" s="145" t="n"/>
      <c r="H5" s="145" t="n"/>
      <c r="I5" s="145" t="n"/>
      <c r="J5" s="145" t="n"/>
      <c r="K5" s="145" t="n"/>
      <c r="L5" s="145" t="n"/>
      <c r="M5" s="145" t="n"/>
      <c r="N5" s="145" t="n"/>
      <c r="O5" s="145" t="n"/>
      <c r="P5" s="145" t="n"/>
      <c r="Q5" s="145" t="n">
        <v>64000</v>
      </c>
      <c r="R5" s="145" t="n"/>
      <c r="S5" s="145" t="n"/>
      <c r="T5" s="145" t="n">
        <v>64000</v>
      </c>
      <c r="U5" s="145" t="n"/>
      <c r="V5" s="145" t="n"/>
      <c r="W5" s="145" t="n"/>
      <c r="X5" s="145" t="n"/>
      <c r="Y5" s="145" t="n"/>
      <c r="Z5" s="145" t="n">
        <v>64000</v>
      </c>
      <c r="AA5" s="145" t="n"/>
      <c r="AB5" s="145" t="n"/>
      <c r="AC5" s="145" t="n">
        <v>32000</v>
      </c>
      <c r="AD5" s="145" t="n"/>
      <c r="AE5" s="146" t="n"/>
      <c r="AF5" s="146" t="n"/>
      <c r="AG5" s="193">
        <f>SUM(B5:AF5)</f>
        <v/>
      </c>
    </row>
    <row r="6">
      <c r="A6" s="9" t="inlineStr">
        <is>
          <t>조양마트</t>
        </is>
      </c>
      <c r="B6" s="144" t="n"/>
      <c r="C6" s="145" t="n"/>
      <c r="D6" s="145" t="n"/>
      <c r="E6" s="145" t="inlineStr">
        <is>
          <t> </t>
        </is>
      </c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6" t="n"/>
      <c r="AF6" s="146" t="n"/>
      <c r="AG6" s="193">
        <f>SUM(B6:AF6)</f>
        <v/>
      </c>
    </row>
    <row r="7">
      <c r="A7" s="9" t="inlineStr">
        <is>
          <t>㈜용담유통</t>
        </is>
      </c>
      <c r="B7" s="144" t="n"/>
      <c r="C7" s="145" t="n"/>
      <c r="D7" s="145" t="n"/>
      <c r="E7" s="145" t="n">
        <v>43800</v>
      </c>
      <c r="F7" s="145" t="n">
        <v>14600</v>
      </c>
      <c r="G7" s="145" t="n"/>
      <c r="H7" s="145" t="n"/>
      <c r="I7" s="145" t="n"/>
      <c r="J7" s="145" t="n"/>
      <c r="K7" s="145" t="n"/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>
        <v>14600</v>
      </c>
      <c r="U7" s="145" t="n"/>
      <c r="V7" s="145" t="n"/>
      <c r="W7" s="145" t="n"/>
      <c r="X7" s="145" t="n"/>
      <c r="Y7" s="145" t="n"/>
      <c r="Z7" s="145" t="n"/>
      <c r="AA7" s="145" t="n"/>
      <c r="AB7" s="145" t="n"/>
      <c r="AC7" s="145" t="n"/>
      <c r="AD7" s="145" t="n"/>
      <c r="AE7" s="146" t="n"/>
      <c r="AF7" s="146" t="n"/>
      <c r="AG7" s="193">
        <f>SUM(B7:AF7)</f>
        <v/>
      </c>
    </row>
    <row r="8">
      <c r="A8" s="9" t="inlineStr">
        <is>
          <t>㈜에코두레</t>
        </is>
      </c>
      <c r="B8" s="144" t="n"/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  <c r="AA8" s="145" t="n"/>
      <c r="AB8" s="145" t="n">
        <v>74250</v>
      </c>
      <c r="AC8" s="145" t="n"/>
      <c r="AD8" s="145" t="n"/>
      <c r="AE8" s="146" t="n"/>
      <c r="AF8" s="146" t="n"/>
      <c r="AG8" s="193">
        <f>SUM(B8:AF8)</f>
        <v/>
      </c>
    </row>
    <row r="9">
      <c r="A9" s="9" t="inlineStr">
        <is>
          <t>코스트코</t>
        </is>
      </c>
      <c r="B9" s="144" t="n"/>
      <c r="C9" s="145" t="n"/>
      <c r="D9" s="145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6" t="n"/>
      <c r="AF9" s="146" t="n"/>
      <c r="AG9" s="193">
        <f>SUM(B9:AF9)</f>
        <v/>
      </c>
    </row>
    <row r="10">
      <c r="A10" s="9" t="inlineStr">
        <is>
          <t>트레이더스</t>
        </is>
      </c>
      <c r="B10" s="144" t="n"/>
      <c r="C10" s="145" t="n"/>
      <c r="D10" s="145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6" t="n"/>
      <c r="AF10" s="146" t="n"/>
      <c r="AG10" s="193">
        <f>SUM(B10:AF10)</f>
        <v/>
      </c>
    </row>
    <row r="11">
      <c r="A11" s="9" t="inlineStr">
        <is>
          <t>이마트</t>
        </is>
      </c>
      <c r="B11" s="144" t="n"/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6" t="n"/>
      <c r="AF11" s="146" t="n"/>
      <c r="AG11" s="193">
        <f>SUM(B11:AF11)</f>
        <v/>
      </c>
    </row>
    <row r="12">
      <c r="A12" s="9" t="inlineStr">
        <is>
          <t>상대유통㈜</t>
        </is>
      </c>
      <c r="B12" s="144" t="n"/>
      <c r="C12" s="145" t="n"/>
      <c r="D12" s="145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  <c r="AA12" s="145" t="n"/>
      <c r="AB12" s="145" t="n"/>
      <c r="AC12" s="145" t="n"/>
      <c r="AD12" s="145" t="n"/>
      <c r="AE12" s="146" t="n"/>
      <c r="AF12" s="146" t="n"/>
      <c r="AG12" s="193">
        <f>SUM(B12:AF12)</f>
        <v/>
      </c>
    </row>
    <row r="13">
      <c r="A13" s="9" t="inlineStr">
        <is>
          <t>다농마트</t>
        </is>
      </c>
      <c r="B13" s="144" t="n"/>
      <c r="C13" s="145" t="n"/>
      <c r="D13" s="145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  <c r="AA13" s="145" t="n"/>
      <c r="AB13" s="145" t="n"/>
      <c r="AC13" s="145" t="n"/>
      <c r="AD13" s="145" t="n"/>
      <c r="AE13" s="146" t="n"/>
      <c r="AF13" s="146" t="n"/>
      <c r="AG13" s="193">
        <f>SUM(B13:AF13)</f>
        <v/>
      </c>
    </row>
    <row r="14">
      <c r="A14" s="9" t="inlineStr">
        <is>
          <t>(주)유창</t>
        </is>
      </c>
      <c r="B14" s="144" t="n"/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  <c r="AA14" s="145" t="n"/>
      <c r="AB14" s="145" t="n"/>
      <c r="AC14" s="145" t="n"/>
      <c r="AD14" s="145" t="n"/>
      <c r="AE14" s="146" t="n"/>
      <c r="AF14" s="146" t="n"/>
      <c r="AG14" s="193">
        <f>SUM(B14:AF14)</f>
        <v/>
      </c>
    </row>
    <row r="15">
      <c r="A15" s="9" t="inlineStr">
        <is>
          <t>대한유통</t>
        </is>
      </c>
      <c r="B15" s="144" t="n"/>
      <c r="C15" s="145" t="n"/>
      <c r="D15" s="145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  <c r="AA15" s="145" t="n"/>
      <c r="AB15" s="145" t="n"/>
      <c r="AC15" s="145" t="n"/>
      <c r="AD15" s="145" t="n"/>
      <c r="AE15" s="146" t="n"/>
      <c r="AF15" s="146" t="n"/>
      <c r="AG15" s="193">
        <f>SUM(B15:AF15)</f>
        <v/>
      </c>
    </row>
    <row r="16">
      <c r="A16" s="9" t="inlineStr">
        <is>
          <t>재우상회</t>
        </is>
      </c>
      <c r="B16" s="144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  <c r="AA16" s="145" t="n"/>
      <c r="AB16" s="145" t="n"/>
      <c r="AC16" s="145" t="n"/>
      <c r="AD16" s="145" t="n"/>
      <c r="AE16" s="146" t="n"/>
      <c r="AF16" s="146" t="n"/>
      <c r="AG16" s="193">
        <f>SUM(B16:AF16)</f>
        <v/>
      </c>
    </row>
    <row r="17">
      <c r="A17" s="9" t="inlineStr">
        <is>
          <t>㈜에스에프앤비</t>
        </is>
      </c>
      <c r="B17" s="144" t="n"/>
      <c r="C17" s="145" t="n"/>
      <c r="D17" s="145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6" t="n"/>
      <c r="AF17" s="146" t="n"/>
      <c r="AG17" s="193">
        <f>SUM(B17:AF17)</f>
        <v/>
      </c>
    </row>
    <row r="18">
      <c r="A18" s="9" t="inlineStr">
        <is>
          <t>용산식품</t>
        </is>
      </c>
      <c r="B18" s="144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6" t="n"/>
      <c r="AF18" s="146" t="n"/>
      <c r="AG18" s="193">
        <f>SUM(B18:AF18)</f>
        <v/>
      </c>
    </row>
    <row r="19">
      <c r="A19" s="9" t="inlineStr">
        <is>
          <t>쿠팡</t>
        </is>
      </c>
      <c r="B19" s="144" t="n"/>
      <c r="C19" s="145" t="n"/>
      <c r="D19" s="145" t="n">
        <v>42240</v>
      </c>
      <c r="E19" s="145" t="n"/>
      <c r="F19" s="145" t="n"/>
      <c r="G19" s="145" t="n"/>
      <c r="H19" s="145" t="n">
        <v>7890</v>
      </c>
      <c r="I19" s="145" t="n">
        <v>21900</v>
      </c>
      <c r="J19" s="145" t="n"/>
      <c r="K19" s="145" t="n"/>
      <c r="L19" s="145" t="n">
        <v>43410</v>
      </c>
      <c r="M19" s="145" t="n"/>
      <c r="N19" s="145" t="n"/>
      <c r="O19" s="145" t="n"/>
      <c r="P19" s="145" t="n"/>
      <c r="Q19" s="145" t="n"/>
      <c r="R19" s="145" t="n">
        <v>53800</v>
      </c>
      <c r="S19" s="145" t="n"/>
      <c r="T19" s="145" t="n"/>
      <c r="U19" s="145" t="n">
        <v>59420</v>
      </c>
      <c r="V19" s="145" t="n"/>
      <c r="W19" s="145" t="n"/>
      <c r="X19" s="145" t="n"/>
      <c r="Y19" s="145" t="n"/>
      <c r="Z19" s="145" t="n"/>
      <c r="AA19" s="145" t="n">
        <v>42000</v>
      </c>
      <c r="AB19" s="145" t="n">
        <v>41070</v>
      </c>
      <c r="AC19" s="145" t="n">
        <v>58650</v>
      </c>
      <c r="AD19" s="145" t="n">
        <v>221970</v>
      </c>
      <c r="AE19" s="146" t="n">
        <v>15500</v>
      </c>
      <c r="AF19" s="146" t="n"/>
      <c r="AG19" s="193">
        <f>SUM(B19:AF19)</f>
        <v/>
      </c>
    </row>
    <row r="20">
      <c r="A20" s="9" t="inlineStr">
        <is>
          <t>배민상회</t>
        </is>
      </c>
      <c r="B20" s="144" t="n"/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6" t="n"/>
      <c r="AF20" s="146" t="n"/>
      <c r="AG20" s="193">
        <f>SUM(B20:AF20)</f>
        <v/>
      </c>
    </row>
    <row r="21">
      <c r="A21" s="9" t="inlineStr">
        <is>
          <t>다인푸드닷컴</t>
        </is>
      </c>
      <c r="B21" s="144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  <c r="AA21" s="145" t="n"/>
      <c r="AB21" s="145" t="n">
        <v>297500</v>
      </c>
      <c r="AC21" s="145" t="n"/>
      <c r="AD21" s="145" t="n"/>
      <c r="AE21" s="146" t="n"/>
      <c r="AF21" s="146" t="n"/>
      <c r="AG21" s="193">
        <f>SUM(B21:AF21)</f>
        <v/>
      </c>
    </row>
    <row r="22">
      <c r="A22" s="9" t="inlineStr">
        <is>
          <t>㈜한주주방아웃렛</t>
        </is>
      </c>
      <c r="B22" s="144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6" t="n"/>
      <c r="AF22" s="146" t="n"/>
      <c r="AG22" s="193">
        <f>SUM(B22:AF22)</f>
        <v/>
      </c>
    </row>
    <row r="23">
      <c r="A23" s="9" t="inlineStr">
        <is>
          <t>㈜신진상사</t>
        </is>
      </c>
      <c r="B23" s="144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  <c r="AA23" s="145" t="n"/>
      <c r="AB23" s="145" t="n"/>
      <c r="AC23" s="145" t="n"/>
      <c r="AD23" s="145" t="n"/>
      <c r="AE23" s="146" t="n"/>
      <c r="AF23" s="146" t="n"/>
      <c r="AG23" s="193">
        <f>SUM(B23:AF23)</f>
        <v/>
      </c>
    </row>
    <row r="24">
      <c r="A24" s="9" t="inlineStr">
        <is>
          <t>창미포장기계(유용운)</t>
        </is>
      </c>
      <c r="B24" s="144" t="n"/>
      <c r="C24" s="145" t="n"/>
      <c r="D24" s="145" t="n"/>
      <c r="E24" s="145" t="n"/>
      <c r="F24" s="145" t="n">
        <v>92620</v>
      </c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6" t="n"/>
      <c r="AF24" s="146" t="n"/>
      <c r="AG24" s="193">
        <f>SUM(B24:AF24)</f>
        <v/>
      </c>
    </row>
    <row r="25">
      <c r="A25" s="9" t="inlineStr">
        <is>
          <t>새로피엔엘</t>
        </is>
      </c>
      <c r="B25" s="144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  <c r="AA25" s="145" t="n"/>
      <c r="AB25" s="145" t="n"/>
      <c r="AC25" s="145" t="n"/>
      <c r="AD25" s="145" t="n"/>
      <c r="AE25" s="146" t="n"/>
      <c r="AF25" s="146" t="n"/>
      <c r="AG25" s="193">
        <f>SUM(B25:AF25)</f>
        <v/>
      </c>
    </row>
    <row r="26">
      <c r="A26" s="9" t="inlineStr">
        <is>
          <t>365하수구</t>
        </is>
      </c>
      <c r="B26" s="144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6" t="n"/>
      <c r="AF26" s="146" t="n"/>
      <c r="AG26" s="193">
        <f>SUM(B26:AF26)</f>
        <v/>
      </c>
    </row>
    <row r="27">
      <c r="A27" s="9" t="inlineStr">
        <is>
          <t>세진햇김</t>
        </is>
      </c>
      <c r="B27" s="144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6" t="n"/>
      <c r="AF27" s="146" t="n"/>
      <c r="AG27" s="194" t="n"/>
    </row>
    <row r="28" ht="17.5" customHeight="1" thickBot="1">
      <c r="A28" s="9" t="inlineStr">
        <is>
          <t>태영유통</t>
        </is>
      </c>
      <c r="B28" s="144" t="n"/>
      <c r="C28" s="145" t="n"/>
      <c r="D28" s="145" t="n"/>
      <c r="E28" s="145" t="n"/>
      <c r="F28" s="145" t="n"/>
      <c r="G28" s="145" t="n"/>
      <c r="H28" s="145" t="n"/>
      <c r="I28" s="145" t="n"/>
      <c r="J28" s="145" t="n"/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  <c r="AA28" s="145" t="n"/>
      <c r="AB28" s="145" t="n"/>
      <c r="AC28" s="145" t="n"/>
      <c r="AD28" s="145" t="n"/>
      <c r="AE28" s="146" t="n"/>
      <c r="AF28" s="146" t="n"/>
      <c r="AG28" s="194">
        <f>SUM(B28:AF28)</f>
        <v/>
      </c>
    </row>
    <row r="29" ht="29" customHeight="1" thickBot="1">
      <c r="A29" s="10" t="n"/>
      <c r="B29" s="195">
        <f>SUM(B3:B28)</f>
        <v/>
      </c>
      <c r="C29" s="195">
        <f>SUM(C3:C28)</f>
        <v/>
      </c>
      <c r="D29" s="195">
        <f>SUM(D3:D28)</f>
        <v/>
      </c>
      <c r="E29" s="195">
        <f>SUM(E3:E28)</f>
        <v/>
      </c>
      <c r="F29" s="195">
        <f>SUM(F3:F28)</f>
        <v/>
      </c>
      <c r="G29" s="195">
        <f>SUM(G3:G28)</f>
        <v/>
      </c>
      <c r="H29" s="195">
        <f>SUM(H3:H28)</f>
        <v/>
      </c>
      <c r="I29" s="195">
        <f>SUM(I3:I28)</f>
        <v/>
      </c>
      <c r="J29" s="195">
        <f>SUM(J3:J28)</f>
        <v/>
      </c>
      <c r="K29" s="195">
        <f>SUM(K3:K28)</f>
        <v/>
      </c>
      <c r="L29" s="195">
        <f>SUM(L3:L28)</f>
        <v/>
      </c>
      <c r="M29" s="195">
        <f>SUM(M3:M28)</f>
        <v/>
      </c>
      <c r="N29" s="195">
        <f>SUM(N3:N28)</f>
        <v/>
      </c>
      <c r="O29" s="195">
        <f>SUM(O3:O28)</f>
        <v/>
      </c>
      <c r="P29" s="195">
        <f>SUM(P3:P28)</f>
        <v/>
      </c>
      <c r="Q29" s="195">
        <f>SUM(Q3:Q28)</f>
        <v/>
      </c>
      <c r="R29" s="195">
        <f>SUM(R3:R28)</f>
        <v/>
      </c>
      <c r="S29" s="195">
        <f>SUM(S3:S28)</f>
        <v/>
      </c>
      <c r="T29" s="195">
        <f>SUM(T3:T28)</f>
        <v/>
      </c>
      <c r="U29" s="195">
        <f>SUM(U3:U28)</f>
        <v/>
      </c>
      <c r="V29" s="195">
        <f>SUM(V3:V28)</f>
        <v/>
      </c>
      <c r="W29" s="195">
        <f>SUM(W3:W28)</f>
        <v/>
      </c>
      <c r="X29" s="195">
        <f>SUM(X3:X28)</f>
        <v/>
      </c>
      <c r="Y29" s="195">
        <f>SUM(Y3:Y28)</f>
        <v/>
      </c>
      <c r="Z29" s="195">
        <f>SUM(Z3:Z28)</f>
        <v/>
      </c>
      <c r="AA29" s="195">
        <f>SUM(AA3:AA28)</f>
        <v/>
      </c>
      <c r="AB29" s="195">
        <f>SUM(AB3:AB28)</f>
        <v/>
      </c>
      <c r="AC29" s="195">
        <f>SUM(AC3:AC28)</f>
        <v/>
      </c>
      <c r="AD29" s="195">
        <f>SUM(AD3:AD28)</f>
        <v/>
      </c>
      <c r="AE29" s="196" t="n"/>
      <c r="AF29" s="196">
        <f>SUM(AF3:AF28)</f>
        <v/>
      </c>
      <c r="AG29" s="197">
        <f>SUM(B29:AF29)</f>
        <v/>
      </c>
    </row>
    <row r="30">
      <c r="A30" s="14" t="inlineStr">
        <is>
          <t>포유인포텍</t>
        </is>
      </c>
      <c r="B30" s="198" t="n"/>
      <c r="C30" s="199" t="n"/>
      <c r="D30" s="199" t="n"/>
      <c r="E30" s="199" t="n"/>
      <c r="F30" s="199" t="n">
        <v>5500</v>
      </c>
      <c r="G30" s="199" t="n"/>
      <c r="H30" s="199" t="n"/>
      <c r="I30" s="199" t="n"/>
      <c r="J30" s="199" t="n"/>
      <c r="K30" s="199" t="n"/>
      <c r="L30" s="199" t="n"/>
      <c r="M30" s="199" t="n"/>
      <c r="N30" s="199" t="n"/>
      <c r="O30" s="199" t="n"/>
      <c r="P30" s="199" t="n"/>
      <c r="Q30" s="199" t="n"/>
      <c r="R30" s="199" t="n"/>
      <c r="S30" s="199" t="n"/>
      <c r="T30" s="199" t="n"/>
      <c r="U30" s="199" t="n"/>
      <c r="V30" s="199" t="n"/>
      <c r="W30" s="199" t="n"/>
      <c r="X30" s="199" t="n"/>
      <c r="Y30" s="199" t="n"/>
      <c r="Z30" s="199" t="n"/>
      <c r="AA30" s="199" t="n"/>
      <c r="AB30" s="199" t="n"/>
      <c r="AC30" s="199" t="n"/>
      <c r="AD30" s="199" t="n"/>
      <c r="AE30" s="200" t="n"/>
      <c r="AF30" s="200" t="n"/>
      <c r="AG30" s="201">
        <f>SUM(B30:AF30)</f>
        <v/>
      </c>
    </row>
    <row r="31">
      <c r="A31" s="9" t="inlineStr">
        <is>
          <t>서울특징</t>
        </is>
      </c>
      <c r="B31" s="144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145" t="n"/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  <c r="AA31" s="145" t="n"/>
      <c r="AB31" s="145" t="n"/>
      <c r="AC31" s="145" t="n"/>
      <c r="AD31" s="145" t="n"/>
      <c r="AE31" s="146" t="n"/>
      <c r="AF31" s="146" t="n"/>
      <c r="AG31" s="202">
        <f>SUM(B31:AF31)</f>
        <v/>
      </c>
    </row>
    <row r="32">
      <c r="A32" s="9" t="inlineStr">
        <is>
          <t>국민건강보험</t>
        </is>
      </c>
      <c r="B32" s="144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5" t="n"/>
      <c r="L32" s="145" t="n">
        <v>1119740</v>
      </c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  <c r="AA32" s="145" t="n"/>
      <c r="AB32" s="145" t="n"/>
      <c r="AC32" s="145" t="n"/>
      <c r="AD32" s="145" t="n"/>
      <c r="AE32" s="146" t="n"/>
      <c r="AF32" s="146" t="n"/>
      <c r="AG32" s="202">
        <f>SUM(B32:AF32)</f>
        <v/>
      </c>
    </row>
    <row r="33">
      <c r="A33" s="9" t="inlineStr">
        <is>
          <t>국민연금</t>
        </is>
      </c>
      <c r="B33" s="144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/>
      <c r="L33" s="145" t="n">
        <v>430200</v>
      </c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6" t="n"/>
      <c r="AF33" s="146" t="n"/>
      <c r="AG33" s="202">
        <f>SUM(B33:AF33)</f>
        <v/>
      </c>
    </row>
    <row r="34">
      <c r="A34" s="9" t="inlineStr">
        <is>
          <t>고용보험</t>
        </is>
      </c>
      <c r="B34" s="144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/>
      <c r="L34" s="145" t="n">
        <v>125740</v>
      </c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145" t="n"/>
      <c r="AE34" s="146" t="n"/>
      <c r="AF34" s="146" t="n"/>
      <c r="AG34" s="202">
        <f>SUM(B34:AF34)</f>
        <v/>
      </c>
    </row>
    <row r="35">
      <c r="A35" s="9" t="inlineStr">
        <is>
          <t>산재보험</t>
        </is>
      </c>
      <c r="B35" s="144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/>
      <c r="L35" s="145" t="n">
        <v>90830</v>
      </c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6" t="n"/>
      <c r="AF35" s="146" t="n"/>
      <c r="AG35" s="202">
        <f>SUM(B35:AF35)</f>
        <v/>
      </c>
    </row>
    <row r="36">
      <c r="A36" s="9" t="inlineStr">
        <is>
          <t>서울주민세</t>
        </is>
      </c>
      <c r="B36" s="144" t="n"/>
      <c r="C36" s="145" t="n"/>
      <c r="D36" s="145" t="n"/>
      <c r="E36" s="145" t="n"/>
      <c r="F36" s="145" t="n">
        <v>62500</v>
      </c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6" t="n"/>
      <c r="AF36" s="146" t="n"/>
      <c r="AG36" s="202" t="n"/>
    </row>
    <row r="37">
      <c r="A37" s="9" t="inlineStr">
        <is>
          <t>SK인텔릭스</t>
        </is>
      </c>
      <c r="B37" s="144" t="n"/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5" t="n"/>
      <c r="L37" s="145" t="n">
        <v>25900</v>
      </c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6" t="n"/>
      <c r="AF37" s="146" t="n"/>
      <c r="AG37" s="202">
        <f>SUM(B37:AF37)</f>
        <v/>
      </c>
    </row>
    <row r="38">
      <c r="A38" s="9" t="inlineStr">
        <is>
          <t>SK매직</t>
        </is>
      </c>
      <c r="B38" s="144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6" t="n"/>
      <c r="AF38" s="146" t="n"/>
      <c r="AG38" s="202" t="n"/>
    </row>
    <row r="39">
      <c r="A39" s="9" t="inlineStr">
        <is>
          <t>KT통신요금</t>
        </is>
      </c>
      <c r="B39" s="144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>
        <v>22870</v>
      </c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6" t="n"/>
      <c r="AF39" s="146" t="n"/>
      <c r="AG39" s="202">
        <f>SUM(B39:AF39)</f>
        <v/>
      </c>
    </row>
    <row r="40">
      <c r="A40" s="9" t="inlineStr">
        <is>
          <t>매리츠화재</t>
        </is>
      </c>
      <c r="B40" s="144" t="n"/>
      <c r="C40" s="145" t="n"/>
      <c r="D40" s="145" t="n"/>
      <c r="E40" s="145" t="n"/>
      <c r="F40" s="145" t="n">
        <v>46190</v>
      </c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/>
      <c r="AB40" s="145" t="n"/>
      <c r="AC40" s="145" t="n"/>
      <c r="AD40" s="145" t="n"/>
      <c r="AE40" s="146" t="n"/>
      <c r="AF40" s="146" t="n"/>
      <c r="AG40" s="203" t="n"/>
    </row>
    <row r="41">
      <c r="A41" s="9" t="inlineStr">
        <is>
          <t>한화손해보험</t>
        </is>
      </c>
      <c r="B41" s="144" t="n"/>
      <c r="C41" s="145" t="n"/>
      <c r="D41" s="145" t="n"/>
      <c r="E41" s="145" t="n"/>
      <c r="F41" s="145" t="n">
        <v>30000</v>
      </c>
      <c r="G41" s="145" t="n"/>
      <c r="H41" s="145" t="n"/>
      <c r="I41" s="145" t="n"/>
      <c r="J41" s="145" t="n"/>
      <c r="K41" s="145" t="n"/>
      <c r="L41" s="145" t="n"/>
      <c r="M41" s="145" t="n"/>
      <c r="N41" s="145" t="n"/>
      <c r="O41" s="145" t="n"/>
      <c r="P41" s="145" t="n"/>
      <c r="Q41" s="145" t="n"/>
      <c r="R41" s="145" t="n"/>
      <c r="S41" s="145" t="n"/>
      <c r="T41" s="145" t="n"/>
      <c r="U41" s="145" t="n"/>
      <c r="V41" s="145" t="n"/>
      <c r="W41" s="145" t="n"/>
      <c r="X41" s="145" t="n"/>
      <c r="Y41" s="145" t="n"/>
      <c r="Z41" s="145" t="n"/>
      <c r="AA41" s="145" t="n"/>
      <c r="AB41" s="145" t="n"/>
      <c r="AC41" s="145" t="n"/>
      <c r="AD41" s="145" t="n"/>
      <c r="AE41" s="146" t="n"/>
      <c r="AF41" s="146" t="n"/>
      <c r="AG41" s="203" t="n"/>
    </row>
    <row r="42">
      <c r="A42" s="9" t="inlineStr">
        <is>
          <t>S1(N5851892)</t>
        </is>
      </c>
      <c r="B42" s="144" t="n"/>
      <c r="C42" s="145" t="n"/>
      <c r="D42" s="145" t="n"/>
      <c r="E42" s="145" t="n"/>
      <c r="F42" s="145" t="n">
        <v>44000</v>
      </c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  <c r="AA42" s="145" t="n"/>
      <c r="AB42" s="145" t="n"/>
      <c r="AC42" s="145" t="n"/>
      <c r="AD42" s="145" t="n"/>
      <c r="AE42" s="146" t="n"/>
      <c r="AF42" s="146" t="n"/>
      <c r="AG42" s="203" t="n"/>
    </row>
    <row r="43" ht="17.5" customHeight="1" thickBot="1">
      <c r="A43" s="9" t="inlineStr">
        <is>
          <t>CM보험</t>
        </is>
      </c>
      <c r="B43" s="144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  <c r="AA43" s="145" t="n">
        <v>290500</v>
      </c>
      <c r="AB43" s="145" t="n"/>
      <c r="AC43" s="145" t="n"/>
      <c r="AD43" s="145" t="n"/>
      <c r="AE43" s="146" t="n"/>
      <c r="AF43" s="146" t="n"/>
      <c r="AG43" s="203">
        <f>SUM(B43:AF43)</f>
        <v/>
      </c>
    </row>
    <row r="44" ht="30" customHeight="1" thickBot="1">
      <c r="A44" s="26" t="n"/>
      <c r="B44" s="204">
        <f>SUM(B30:B43)</f>
        <v/>
      </c>
      <c r="C44" s="204">
        <f>SUM(C30:C43)</f>
        <v/>
      </c>
      <c r="D44" s="204">
        <f>SUM(D30:D43)</f>
        <v/>
      </c>
      <c r="E44" s="204">
        <f>SUM(E30:E43)</f>
        <v/>
      </c>
      <c r="F44" s="204">
        <f>SUM(F30:F43)</f>
        <v/>
      </c>
      <c r="G44" s="204">
        <f>SUM(G30:G43)</f>
        <v/>
      </c>
      <c r="H44" s="204">
        <f>SUM(H30:H43)</f>
        <v/>
      </c>
      <c r="I44" s="204">
        <f>SUM(I30:I43)</f>
        <v/>
      </c>
      <c r="J44" s="204">
        <f>SUM(J30:J43)</f>
        <v/>
      </c>
      <c r="K44" s="204">
        <f>SUM(K30:K43)</f>
        <v/>
      </c>
      <c r="L44" s="204">
        <f>SUM(L30:L43)</f>
        <v/>
      </c>
      <c r="M44" s="204">
        <f>SUM(M30:M43)</f>
        <v/>
      </c>
      <c r="N44" s="204">
        <f>SUM(N30:N43)</f>
        <v/>
      </c>
      <c r="O44" s="204">
        <f>SUM(O30:O43)</f>
        <v/>
      </c>
      <c r="P44" s="204">
        <f>SUM(P30:P43)</f>
        <v/>
      </c>
      <c r="Q44" s="204">
        <f>SUM(Q30:Q43)</f>
        <v/>
      </c>
      <c r="R44" s="204">
        <f>SUM(R30:R43)</f>
        <v/>
      </c>
      <c r="S44" s="204">
        <f>SUM(S30:S43)</f>
        <v/>
      </c>
      <c r="T44" s="204">
        <f>SUM(T30:T43)</f>
        <v/>
      </c>
      <c r="U44" s="204">
        <f>SUM(U30:U43)</f>
        <v/>
      </c>
      <c r="V44" s="204">
        <f>SUM(V30:V43)</f>
        <v/>
      </c>
      <c r="W44" s="204">
        <f>SUM(W30:W43)</f>
        <v/>
      </c>
      <c r="X44" s="204">
        <f>SUM(X30:X43)</f>
        <v/>
      </c>
      <c r="Y44" s="204">
        <f>SUM(Y30:Y43)</f>
        <v/>
      </c>
      <c r="Z44" s="204">
        <f>SUM(Z30:Z43)</f>
        <v/>
      </c>
      <c r="AA44" s="204">
        <f>SUM(AA30:AA43)</f>
        <v/>
      </c>
      <c r="AB44" s="204">
        <f>SUM(AB30:AB43)</f>
        <v/>
      </c>
      <c r="AC44" s="204">
        <f>SUM(AC30:AC43)</f>
        <v/>
      </c>
      <c r="AD44" s="204">
        <f>SUM(AD30:AD43)</f>
        <v/>
      </c>
      <c r="AE44" s="204" t="n"/>
      <c r="AF44" s="204">
        <f>SUM(AF30:AF43)</f>
        <v/>
      </c>
      <c r="AG44" s="205">
        <f>SUM(AG30:AG43)</f>
        <v/>
      </c>
    </row>
    <row r="45">
      <c r="A45" s="9" t="inlineStr">
        <is>
          <t>영존임대료</t>
        </is>
      </c>
      <c r="B45" s="144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5" t="n"/>
      <c r="L45" s="145" t="n"/>
      <c r="M45" s="145" t="n"/>
      <c r="N45" s="145" t="n"/>
      <c r="O45" s="145" t="n"/>
      <c r="P45" s="145" t="n"/>
      <c r="Q45" s="145" t="n"/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  <c r="AA45" s="145" t="n"/>
      <c r="AB45" s="145" t="n"/>
      <c r="AC45" s="145" t="n"/>
      <c r="AD45" s="145" t="n"/>
      <c r="AE45" s="146" t="n"/>
      <c r="AF45" s="146" t="n">
        <v>4763000</v>
      </c>
      <c r="AG45" s="206">
        <f>SUM(B45:AF45)</f>
        <v/>
      </c>
    </row>
    <row r="46">
      <c r="A46" s="9" t="inlineStr">
        <is>
          <t>영존관리비</t>
        </is>
      </c>
      <c r="B46" s="144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6" t="n"/>
      <c r="AF46" s="146" t="n">
        <v>1490710</v>
      </c>
      <c r="AG46" s="202">
        <f>SUM(B46:AF46)</f>
        <v/>
      </c>
    </row>
    <row r="47" ht="29.5" customHeight="1" thickBot="1">
      <c r="A47" s="24" t="n"/>
      <c r="B47" s="207">
        <f>SUM(B45:B46)</f>
        <v/>
      </c>
      <c r="C47" s="207">
        <f>SUM(C45:C46)</f>
        <v/>
      </c>
      <c r="D47" s="207">
        <f>SUM(D45:D46)</f>
        <v/>
      </c>
      <c r="E47" s="207">
        <f>SUM(E45:E46)</f>
        <v/>
      </c>
      <c r="F47" s="207">
        <f>SUM(F45:F46)</f>
        <v/>
      </c>
      <c r="G47" s="207">
        <f>SUM(G45:G46)</f>
        <v/>
      </c>
      <c r="H47" s="207">
        <f>SUM(H45:H46)</f>
        <v/>
      </c>
      <c r="I47" s="207">
        <f>SUM(I45:I46)</f>
        <v/>
      </c>
      <c r="J47" s="207">
        <f>SUM(J45:J46)</f>
        <v/>
      </c>
      <c r="K47" s="207">
        <f>SUM(K45:K46)</f>
        <v/>
      </c>
      <c r="L47" s="207">
        <f>SUM(L45:L46)</f>
        <v/>
      </c>
      <c r="M47" s="207">
        <f>SUM(M45:M46)</f>
        <v/>
      </c>
      <c r="N47" s="207">
        <f>SUM(N45:N46)</f>
        <v/>
      </c>
      <c r="O47" s="207">
        <f>SUM(O45:O46)</f>
        <v/>
      </c>
      <c r="P47" s="207">
        <f>SUM(P45:P46)</f>
        <v/>
      </c>
      <c r="Q47" s="207">
        <f>SUM(Q45:Q46)</f>
        <v/>
      </c>
      <c r="R47" s="207">
        <f>SUM(R45:R46)</f>
        <v/>
      </c>
      <c r="S47" s="207">
        <f>SUM(S45:S46)</f>
        <v/>
      </c>
      <c r="T47" s="207">
        <f>SUM(T45:T46)</f>
        <v/>
      </c>
      <c r="U47" s="207">
        <f>SUM(U45:U46)</f>
        <v/>
      </c>
      <c r="V47" s="207">
        <f>SUM(V45:V46)</f>
        <v/>
      </c>
      <c r="W47" s="207">
        <f>SUM(W45:W46)</f>
        <v/>
      </c>
      <c r="X47" s="207">
        <f>SUM(X45:X46)</f>
        <v/>
      </c>
      <c r="Y47" s="207">
        <f>SUM(Y45:Y46)</f>
        <v/>
      </c>
      <c r="Z47" s="207">
        <f>SUM(Z45:Z46)</f>
        <v/>
      </c>
      <c r="AA47" s="207">
        <f>SUM(AA45:AA46)</f>
        <v/>
      </c>
      <c r="AB47" s="207">
        <f>SUM(AB45:AB46)</f>
        <v/>
      </c>
      <c r="AC47" s="207">
        <f>SUM(AC45:AC46)</f>
        <v/>
      </c>
      <c r="AD47" s="207">
        <f>SUM(AD45:AD46)</f>
        <v/>
      </c>
      <c r="AE47" s="207" t="n"/>
      <c r="AF47" s="207">
        <f>SUM(AF45:AF46)</f>
        <v/>
      </c>
      <c r="AG47" s="208">
        <f>SUM(AG45:AG46)</f>
        <v/>
      </c>
    </row>
  </sheetData>
  <mergeCells count="1">
    <mergeCell ref="A1:A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4"/>
  <sheetViews>
    <sheetView topLeftCell="A2" zoomScaleNormal="100" workbookViewId="0">
      <pane ySplit="1" topLeftCell="A15" activePane="bottomLeft" state="frozen"/>
      <selection activeCell="A2" sqref="A2"/>
      <selection pane="bottomLeft" activeCell="AB19" sqref="AB19"/>
    </sheetView>
  </sheetViews>
  <sheetFormatPr baseColWidth="8" defaultRowHeight="17"/>
  <cols>
    <col width="21.9140625" customWidth="1" style="2" min="1" max="1"/>
    <col width="12.25" customWidth="1" style="124" min="2" max="10"/>
    <col width="13.58203125" customWidth="1" style="124" min="11" max="11"/>
    <col width="12.25" customWidth="1" style="124" min="12" max="30"/>
    <col width="14.4140625" customWidth="1" style="124" min="31" max="31"/>
    <col width="14.4140625" customWidth="1" style="2" min="32" max="32"/>
    <col width="8.6640625" customWidth="1" style="2" min="33" max="16384"/>
  </cols>
  <sheetData>
    <row r="1" hidden="1" ht="38" customHeight="1" thickBot="1">
      <c r="A1" s="121" t="inlineStr">
        <is>
          <t>일별 거래내역서 (2025.9월)</t>
        </is>
      </c>
    </row>
    <row r="2" ht="24" customHeight="1">
      <c r="A2" s="8" t="n"/>
      <c r="B2" s="190" t="n">
        <v>1</v>
      </c>
      <c r="C2" s="191" t="n">
        <v>2</v>
      </c>
      <c r="D2" s="191" t="n">
        <v>3</v>
      </c>
      <c r="E2" s="191" t="n">
        <v>4</v>
      </c>
      <c r="F2" s="191" t="n">
        <v>5</v>
      </c>
      <c r="G2" s="191" t="n">
        <v>6</v>
      </c>
      <c r="H2" s="191" t="n">
        <v>7</v>
      </c>
      <c r="I2" s="191" t="n">
        <v>8</v>
      </c>
      <c r="J2" s="191" t="n">
        <v>9</v>
      </c>
      <c r="K2" s="191" t="n">
        <v>10</v>
      </c>
      <c r="L2" s="191" t="n">
        <v>11</v>
      </c>
      <c r="M2" s="191" t="n">
        <v>12</v>
      </c>
      <c r="N2" s="191" t="n">
        <v>13</v>
      </c>
      <c r="O2" s="191" t="n">
        <v>14</v>
      </c>
      <c r="P2" s="191" t="n">
        <v>15</v>
      </c>
      <c r="Q2" s="191" t="n">
        <v>16</v>
      </c>
      <c r="R2" s="191" t="n">
        <v>17</v>
      </c>
      <c r="S2" s="191" t="n">
        <v>18</v>
      </c>
      <c r="T2" s="191" t="n">
        <v>19</v>
      </c>
      <c r="U2" s="191" t="n">
        <v>20</v>
      </c>
      <c r="V2" s="191" t="n">
        <v>21</v>
      </c>
      <c r="W2" s="191" t="n">
        <v>22</v>
      </c>
      <c r="X2" s="191" t="n">
        <v>23</v>
      </c>
      <c r="Y2" s="191" t="n">
        <v>24</v>
      </c>
      <c r="Z2" s="191" t="n">
        <v>25</v>
      </c>
      <c r="AA2" s="191" t="n">
        <v>26</v>
      </c>
      <c r="AB2" s="191" t="n">
        <v>27</v>
      </c>
      <c r="AC2" s="191" t="n">
        <v>28</v>
      </c>
      <c r="AD2" s="191" t="n">
        <v>29</v>
      </c>
      <c r="AE2" s="192" t="n">
        <v>30</v>
      </c>
      <c r="AF2" s="19" t="n"/>
    </row>
    <row r="3">
      <c r="A3" s="9" t="inlineStr">
        <is>
          <t>고구마켓(은제민)</t>
        </is>
      </c>
      <c r="B3" s="144" t="n">
        <v>240000</v>
      </c>
      <c r="C3" s="145" t="n"/>
      <c r="D3" s="145" t="n">
        <v>183000</v>
      </c>
      <c r="E3" s="145" t="n"/>
      <c r="F3" s="145" t="n"/>
      <c r="G3" s="145" t="n"/>
      <c r="H3" s="145" t="n"/>
      <c r="I3" s="145" t="n"/>
      <c r="J3" s="145" t="n">
        <v>186000</v>
      </c>
      <c r="K3" s="145" t="n">
        <v>248000</v>
      </c>
      <c r="L3" s="145" t="n"/>
      <c r="M3" s="145" t="n"/>
      <c r="N3" s="145" t="n"/>
      <c r="O3" s="145" t="n"/>
      <c r="P3" s="145" t="n"/>
      <c r="Q3" s="145" t="n">
        <v>186000</v>
      </c>
      <c r="R3" s="145" t="n"/>
      <c r="S3" s="145" t="n"/>
      <c r="T3" s="145" t="n"/>
      <c r="U3" s="145" t="n">
        <v>375000</v>
      </c>
      <c r="V3" s="145" t="n"/>
      <c r="W3" s="145" t="n"/>
      <c r="X3" s="145" t="n"/>
      <c r="Y3" s="145" t="n">
        <v>317500</v>
      </c>
      <c r="Z3" s="145" t="n"/>
      <c r="AA3" s="145" t="n"/>
      <c r="AB3" s="145" t="n">
        <v>193500</v>
      </c>
      <c r="AC3" s="145" t="n"/>
      <c r="AD3" s="145" t="n"/>
      <c r="AE3" s="146" t="n"/>
      <c r="AF3" s="193">
        <f>SUM(B3:AE3)</f>
        <v/>
      </c>
    </row>
    <row r="4">
      <c r="A4" s="9" t="inlineStr">
        <is>
          <t>찬들농산(김영민)</t>
        </is>
      </c>
      <c r="B4" s="144" t="inlineStr">
        <is>
          <t> </t>
        </is>
      </c>
      <c r="C4" s="145" t="n">
        <v>81000</v>
      </c>
      <c r="D4" s="145" t="n">
        <v>23000</v>
      </c>
      <c r="E4" s="145" t="n">
        <v>27000</v>
      </c>
      <c r="F4" s="145" t="n">
        <v>87000</v>
      </c>
      <c r="G4" s="145" t="n"/>
      <c r="H4" s="145" t="n"/>
      <c r="I4" s="145" t="n">
        <v>51000</v>
      </c>
      <c r="J4" s="145" t="n">
        <v>54000</v>
      </c>
      <c r="K4" s="145" t="n"/>
      <c r="L4" s="145" t="n">
        <v>56000</v>
      </c>
      <c r="M4" s="145" t="n">
        <v>50000</v>
      </c>
      <c r="N4" s="145" t="n"/>
      <c r="O4" s="145" t="n"/>
      <c r="P4" s="145" t="n">
        <v>74000</v>
      </c>
      <c r="Q4" s="145" t="n"/>
      <c r="R4" s="145" t="n">
        <v>54000</v>
      </c>
      <c r="S4" s="145" t="n">
        <v>76000</v>
      </c>
      <c r="T4" s="145" t="n">
        <v>82000</v>
      </c>
      <c r="U4" s="145" t="n"/>
      <c r="V4" s="145" t="n"/>
      <c r="W4" s="145" t="n">
        <v>77900</v>
      </c>
      <c r="X4" s="145" t="n">
        <v>29000</v>
      </c>
      <c r="Y4" s="145" t="n"/>
      <c r="Z4" s="145" t="n">
        <v>70000</v>
      </c>
      <c r="AA4" s="145" t="n">
        <v>90000</v>
      </c>
      <c r="AB4" s="145" t="n"/>
      <c r="AC4" s="145" t="n"/>
      <c r="AD4" s="145" t="n">
        <v>28500</v>
      </c>
      <c r="AE4" s="146" t="n">
        <v>106000</v>
      </c>
      <c r="AF4" s="193">
        <f>SUM(B4:AE4)</f>
        <v/>
      </c>
    </row>
    <row r="5">
      <c r="A5" s="9" t="inlineStr">
        <is>
          <t>홍성상회(최희상)</t>
        </is>
      </c>
      <c r="B5" s="144" t="n"/>
      <c r="C5" s="145" t="n"/>
      <c r="D5" s="145" t="n"/>
      <c r="E5" s="145" t="n">
        <v>64000</v>
      </c>
      <c r="F5" s="145" t="n"/>
      <c r="G5" s="145" t="n"/>
      <c r="H5" s="145" t="n"/>
      <c r="I5" s="145" t="n">
        <v>64000</v>
      </c>
      <c r="J5" s="145" t="n"/>
      <c r="K5" s="145" t="n"/>
      <c r="L5" s="145" t="n">
        <v>64000</v>
      </c>
      <c r="M5" s="145" t="n"/>
      <c r="N5" s="145" t="n"/>
      <c r="O5" s="145" t="n"/>
      <c r="P5" s="145" t="n"/>
      <c r="Q5" s="145" t="n">
        <v>64000</v>
      </c>
      <c r="R5" s="145" t="n"/>
      <c r="S5" s="145" t="n">
        <v>32000</v>
      </c>
      <c r="T5" s="145" t="n"/>
      <c r="U5" s="145" t="n"/>
      <c r="V5" s="145" t="n"/>
      <c r="W5" s="145" t="n"/>
      <c r="X5" s="145" t="n">
        <v>64000</v>
      </c>
      <c r="Y5" s="145" t="n"/>
      <c r="Z5" s="145" t="n">
        <v>64000</v>
      </c>
      <c r="AA5" s="145" t="n"/>
      <c r="AB5" s="145" t="n"/>
      <c r="AC5" s="145" t="n"/>
      <c r="AD5" s="145" t="n">
        <v>64000</v>
      </c>
      <c r="AE5" s="146" t="n"/>
      <c r="AF5" s="193">
        <f>SUM(B5:AE5)</f>
        <v/>
      </c>
    </row>
    <row r="6">
      <c r="A6" s="9" t="inlineStr">
        <is>
          <t>조양마트</t>
        </is>
      </c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6" t="n"/>
      <c r="AF6" s="193">
        <f>SUM(B6:AE6)</f>
        <v/>
      </c>
    </row>
    <row r="7">
      <c r="A7" s="9" t="inlineStr">
        <is>
          <t>㈜용담유통</t>
        </is>
      </c>
      <c r="B7" s="144" t="n"/>
      <c r="C7" s="145" t="n"/>
      <c r="D7" s="145" t="n"/>
      <c r="E7" s="145" t="n"/>
      <c r="F7" s="145" t="n"/>
      <c r="G7" s="145" t="n"/>
      <c r="H7" s="145" t="n"/>
      <c r="I7" s="145" t="n"/>
      <c r="J7" s="145" t="n">
        <v>21900</v>
      </c>
      <c r="K7" s="145" t="n"/>
      <c r="L7" s="145" t="n">
        <v>14600</v>
      </c>
      <c r="M7" s="145" t="n">
        <v>14600</v>
      </c>
      <c r="N7" s="145" t="n"/>
      <c r="O7" s="145" t="n"/>
      <c r="P7" s="145" t="n"/>
      <c r="Q7" s="145" t="n">
        <v>21900</v>
      </c>
      <c r="R7" s="145" t="n"/>
      <c r="S7" s="145" t="n">
        <v>14600</v>
      </c>
      <c r="T7" s="145" t="n">
        <v>14600</v>
      </c>
      <c r="U7" s="145" t="n"/>
      <c r="V7" s="145" t="n"/>
      <c r="W7" s="145" t="n"/>
      <c r="X7" s="145" t="n">
        <v>14600</v>
      </c>
      <c r="Y7" s="145" t="n"/>
      <c r="Z7" s="145" t="n">
        <v>14600</v>
      </c>
      <c r="AA7" s="145" t="n">
        <v>21900</v>
      </c>
      <c r="AB7" s="145" t="n"/>
      <c r="AC7" s="145" t="n"/>
      <c r="AD7" s="145" t="n">
        <v>14600</v>
      </c>
      <c r="AE7" s="146" t="n">
        <v>7300</v>
      </c>
      <c r="AF7" s="193">
        <f>SUM(B7:AE7)</f>
        <v/>
      </c>
    </row>
    <row r="8">
      <c r="A8" s="9" t="inlineStr">
        <is>
          <t>㈜에코두레</t>
        </is>
      </c>
      <c r="B8" s="144" t="n">
        <v>123750</v>
      </c>
      <c r="C8" s="145" t="n"/>
      <c r="D8" s="145" t="n"/>
      <c r="E8" s="145" t="n"/>
      <c r="F8" s="145" t="n"/>
      <c r="G8" s="145" t="n"/>
      <c r="H8" s="145" t="n"/>
      <c r="I8" s="145" t="n">
        <v>286000</v>
      </c>
      <c r="J8" s="145" t="n"/>
      <c r="K8" s="145" t="n">
        <v>74250</v>
      </c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>
        <v>99000</v>
      </c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6" t="n"/>
      <c r="AF8" s="193">
        <f>SUM(B8:AE8)</f>
        <v/>
      </c>
    </row>
    <row r="9">
      <c r="A9" s="9" t="inlineStr">
        <is>
          <t>코스트코</t>
        </is>
      </c>
      <c r="B9" s="144" t="n"/>
      <c r="C9" s="145" t="n"/>
      <c r="D9" s="145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6" t="n"/>
      <c r="AF9" s="193">
        <f>SUM(B9:AE9)</f>
        <v/>
      </c>
    </row>
    <row r="10">
      <c r="A10" s="9" t="inlineStr">
        <is>
          <t>트레이더스</t>
        </is>
      </c>
      <c r="B10" s="144" t="n"/>
      <c r="C10" s="145" t="n"/>
      <c r="D10" s="145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6" t="n"/>
      <c r="AF10" s="193">
        <f>SUM(B10:AE10)</f>
        <v/>
      </c>
    </row>
    <row r="11">
      <c r="A11" s="9" t="inlineStr">
        <is>
          <t>이마트</t>
        </is>
      </c>
      <c r="B11" s="144" t="n"/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6" t="n"/>
      <c r="AF11" s="193">
        <f>SUM(B11:AE11)</f>
        <v/>
      </c>
    </row>
    <row r="12">
      <c r="A12" s="9" t="inlineStr">
        <is>
          <t>상대유통㈜</t>
        </is>
      </c>
      <c r="B12" s="144" t="n"/>
      <c r="C12" s="145" t="n"/>
      <c r="D12" s="145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  <c r="AA12" s="145" t="n"/>
      <c r="AB12" s="145" t="n"/>
      <c r="AC12" s="145" t="n"/>
      <c r="AD12" s="145" t="n"/>
      <c r="AE12" s="146" t="n"/>
      <c r="AF12" s="193">
        <f>SUM(B12:AE12)</f>
        <v/>
      </c>
    </row>
    <row r="13">
      <c r="A13" s="9" t="inlineStr">
        <is>
          <t>다농마트</t>
        </is>
      </c>
      <c r="B13" s="144" t="n"/>
      <c r="C13" s="145" t="n"/>
      <c r="D13" s="145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  <c r="AA13" s="145" t="n"/>
      <c r="AB13" s="145" t="n"/>
      <c r="AC13" s="145" t="n"/>
      <c r="AD13" s="145" t="n"/>
      <c r="AE13" s="146" t="n"/>
      <c r="AF13" s="193">
        <f>SUM(B13:AE13)</f>
        <v/>
      </c>
    </row>
    <row r="14">
      <c r="A14" s="9" t="inlineStr">
        <is>
          <t>(주)유창</t>
        </is>
      </c>
      <c r="B14" s="144" t="n"/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  <c r="AA14" s="145" t="n"/>
      <c r="AB14" s="145" t="n"/>
      <c r="AC14" s="145" t="n"/>
      <c r="AD14" s="145" t="n"/>
      <c r="AE14" s="146" t="n"/>
      <c r="AF14" s="193">
        <f>SUM(B14:AE14)</f>
        <v/>
      </c>
    </row>
    <row r="15">
      <c r="A15" s="9" t="inlineStr">
        <is>
          <t>대한유통</t>
        </is>
      </c>
      <c r="B15" s="144" t="inlineStr">
        <is>
          <t> </t>
        </is>
      </c>
      <c r="C15" s="145" t="n">
        <v>26000</v>
      </c>
      <c r="D15" s="145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  <c r="AA15" s="145" t="n"/>
      <c r="AB15" s="145" t="n"/>
      <c r="AC15" s="145" t="n"/>
      <c r="AD15" s="145" t="n"/>
      <c r="AE15" s="146" t="n"/>
      <c r="AF15" s="193">
        <f>SUM(B15:AE15)</f>
        <v/>
      </c>
    </row>
    <row r="16">
      <c r="A16" s="9" t="inlineStr">
        <is>
          <t>재우상회</t>
        </is>
      </c>
      <c r="B16" s="144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  <c r="AA16" s="145" t="n"/>
      <c r="AB16" s="145" t="n"/>
      <c r="AC16" s="145" t="n"/>
      <c r="AD16" s="145" t="n"/>
      <c r="AE16" s="146" t="n"/>
      <c r="AF16" s="193">
        <f>SUM(B16:AE16)</f>
        <v/>
      </c>
    </row>
    <row r="17">
      <c r="A17" s="9" t="inlineStr">
        <is>
          <t>㈜에스에프앤비</t>
        </is>
      </c>
      <c r="B17" s="144" t="n"/>
      <c r="C17" s="145" t="n"/>
      <c r="D17" s="145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6" t="n"/>
      <c r="AF17" s="193">
        <f>SUM(B17:AE17)</f>
        <v/>
      </c>
    </row>
    <row r="18">
      <c r="A18" s="9" t="inlineStr">
        <is>
          <t>용산식품</t>
        </is>
      </c>
      <c r="B18" s="144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6" t="n"/>
      <c r="AF18" s="193">
        <f>SUM(B18:AE18)</f>
        <v/>
      </c>
    </row>
    <row r="19">
      <c r="A19" s="9" t="inlineStr">
        <is>
          <t>쿠팡</t>
        </is>
      </c>
      <c r="B19" s="144" t="n"/>
      <c r="C19" s="145" t="n">
        <v>14850</v>
      </c>
      <c r="D19" s="145" t="n">
        <v>41790</v>
      </c>
      <c r="E19" s="145" t="n"/>
      <c r="F19" s="145" t="n"/>
      <c r="G19" s="145" t="n"/>
      <c r="H19" s="145" t="n">
        <v>7890</v>
      </c>
      <c r="I19" s="145" t="n"/>
      <c r="J19" s="145" t="n">
        <v>4720</v>
      </c>
      <c r="K19" s="145" t="n"/>
      <c r="L19" s="145" t="n">
        <v>42240</v>
      </c>
      <c r="M19" s="145" t="n"/>
      <c r="N19" s="145" t="n"/>
      <c r="O19" s="145" t="n"/>
      <c r="P19" s="145" t="n"/>
      <c r="Q19" s="145" t="n"/>
      <c r="R19" s="145" t="n"/>
      <c r="S19" s="145" t="n"/>
      <c r="T19" s="145" t="n"/>
      <c r="U19" s="145" t="n"/>
      <c r="V19" s="145" t="n"/>
      <c r="W19" s="145" t="n">
        <v>42991</v>
      </c>
      <c r="X19" s="145" t="n">
        <v>39900</v>
      </c>
      <c r="Y19" s="145" t="n"/>
      <c r="Z19" s="145" t="n"/>
      <c r="AA19" s="145" t="n">
        <v>41370</v>
      </c>
      <c r="AB19" s="145" t="n"/>
      <c r="AC19" s="145" t="n"/>
      <c r="AD19" s="145" t="n"/>
      <c r="AE19" s="146" t="n"/>
      <c r="AF19" s="193">
        <f>SUM(B19:AE19)</f>
        <v/>
      </c>
    </row>
    <row r="20">
      <c r="A20" s="9" t="inlineStr">
        <is>
          <t>배민상회</t>
        </is>
      </c>
      <c r="B20" s="144" t="n"/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6" t="n"/>
      <c r="AF20" s="193">
        <f>SUM(B20:AE20)</f>
        <v/>
      </c>
    </row>
    <row r="21">
      <c r="A21" s="9" t="inlineStr">
        <is>
          <t>다인푸드닷컴</t>
        </is>
      </c>
      <c r="B21" s="144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  <c r="AA21" s="145" t="n"/>
      <c r="AB21" s="145" t="n"/>
      <c r="AC21" s="145" t="n"/>
      <c r="AD21" s="145" t="n"/>
      <c r="AE21" s="146" t="n"/>
      <c r="AF21" s="193">
        <f>SUM(B21:AE21)</f>
        <v/>
      </c>
    </row>
    <row r="22">
      <c r="A22" s="9" t="inlineStr">
        <is>
          <t>㈜한주주방아웃렛</t>
        </is>
      </c>
      <c r="B22" s="144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6" t="n"/>
      <c r="AF22" s="193">
        <f>SUM(B22:AE22)</f>
        <v/>
      </c>
    </row>
    <row r="23">
      <c r="A23" s="9" t="inlineStr">
        <is>
          <t>㈜신진상사</t>
        </is>
      </c>
      <c r="B23" s="144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  <c r="AA23" s="145" t="n"/>
      <c r="AB23" s="145" t="n"/>
      <c r="AC23" s="145" t="n"/>
      <c r="AD23" s="145" t="n"/>
      <c r="AE23" s="146" t="n"/>
      <c r="AF23" s="193">
        <f>SUM(B23:AE23)</f>
        <v/>
      </c>
    </row>
    <row r="24">
      <c r="A24" s="9" t="inlineStr">
        <is>
          <t>창미포장기계(유용운)</t>
        </is>
      </c>
      <c r="B24" s="144" t="n"/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6" t="n"/>
      <c r="AF24" s="193">
        <f>SUM(B24:AE24)</f>
        <v/>
      </c>
    </row>
    <row r="25">
      <c r="A25" s="9" t="inlineStr">
        <is>
          <t>에너지삼천</t>
        </is>
      </c>
      <c r="B25" s="144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>
        <v>440000</v>
      </c>
      <c r="U25" s="145" t="n"/>
      <c r="V25" s="145" t="n"/>
      <c r="W25" s="145" t="n"/>
      <c r="X25" s="145" t="n"/>
      <c r="Y25" s="145" t="n"/>
      <c r="Z25" s="145" t="n"/>
      <c r="AA25" s="145" t="n"/>
      <c r="AB25" s="145" t="n"/>
      <c r="AC25" s="145" t="n"/>
      <c r="AD25" s="145" t="n"/>
      <c r="AE25" s="146" t="n"/>
      <c r="AF25" s="193" t="n"/>
    </row>
    <row r="26">
      <c r="A26" s="9" t="inlineStr">
        <is>
          <t>새로피엔엘</t>
        </is>
      </c>
      <c r="B26" s="144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6" t="n"/>
      <c r="AF26" s="193">
        <f>SUM(B26:AE26)</f>
        <v/>
      </c>
    </row>
    <row r="27" ht="17.5" customHeight="1" thickBot="1">
      <c r="A27" s="9" t="inlineStr">
        <is>
          <t>태영유통</t>
        </is>
      </c>
      <c r="B27" s="144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6" t="n"/>
      <c r="AF27" s="194">
        <f>SUM(B27:AE27)</f>
        <v/>
      </c>
    </row>
    <row r="28" ht="29" customHeight="1" thickBot="1">
      <c r="A28" s="10" t="n"/>
      <c r="B28" s="195">
        <f>SUM(B3:B27)</f>
        <v/>
      </c>
      <c r="C28" s="195">
        <f>SUM(C3:C27)</f>
        <v/>
      </c>
      <c r="D28" s="195">
        <f>SUM(D3:D27)</f>
        <v/>
      </c>
      <c r="E28" s="195">
        <f>SUM(E3:E27)</f>
        <v/>
      </c>
      <c r="F28" s="195">
        <f>SUM(F3:F27)</f>
        <v/>
      </c>
      <c r="G28" s="195">
        <f>SUM(G3:G27)</f>
        <v/>
      </c>
      <c r="H28" s="195">
        <f>SUM(H3:H27)</f>
        <v/>
      </c>
      <c r="I28" s="195">
        <f>SUM(I3:I27)</f>
        <v/>
      </c>
      <c r="J28" s="195">
        <f>SUM(J3:J27)</f>
        <v/>
      </c>
      <c r="K28" s="195">
        <f>SUM(K3:K27)</f>
        <v/>
      </c>
      <c r="L28" s="195">
        <f>SUM(L3:L27)</f>
        <v/>
      </c>
      <c r="M28" s="195">
        <f>SUM(M3:M27)</f>
        <v/>
      </c>
      <c r="N28" s="195">
        <f>SUM(N3:N27)</f>
        <v/>
      </c>
      <c r="O28" s="195">
        <f>SUM(O3:O27)</f>
        <v/>
      </c>
      <c r="P28" s="195">
        <f>SUM(P3:P27)</f>
        <v/>
      </c>
      <c r="Q28" s="195">
        <f>SUM(Q3:Q27)</f>
        <v/>
      </c>
      <c r="R28" s="195">
        <f>SUM(R3:R27)</f>
        <v/>
      </c>
      <c r="S28" s="195">
        <f>SUM(S3:S27)</f>
        <v/>
      </c>
      <c r="T28" s="195">
        <f>SUM(T3:T27)</f>
        <v/>
      </c>
      <c r="U28" s="195">
        <f>SUM(U3:U27)</f>
        <v/>
      </c>
      <c r="V28" s="195">
        <f>SUM(V3:V27)</f>
        <v/>
      </c>
      <c r="W28" s="195">
        <f>SUM(W3:W27)</f>
        <v/>
      </c>
      <c r="X28" s="195">
        <f>SUM(X3:X27)</f>
        <v/>
      </c>
      <c r="Y28" s="195">
        <f>SUM(Y3:Y27)</f>
        <v/>
      </c>
      <c r="Z28" s="195">
        <f>SUM(Z3:Z27)</f>
        <v/>
      </c>
      <c r="AA28" s="195">
        <f>SUM(AA3:AA27)</f>
        <v/>
      </c>
      <c r="AB28" s="195">
        <f>SUM(AB3:AB27)</f>
        <v/>
      </c>
      <c r="AC28" s="195">
        <f>SUM(AC3:AC27)</f>
        <v/>
      </c>
      <c r="AD28" s="195">
        <f>SUM(AD3:AD27)</f>
        <v/>
      </c>
      <c r="AE28" s="196">
        <f>SUM(AE3:AE27)</f>
        <v/>
      </c>
      <c r="AF28" s="197">
        <f>SUM(B28:AE28)</f>
        <v/>
      </c>
    </row>
    <row r="29">
      <c r="A29" s="14" t="inlineStr">
        <is>
          <t>포유인포텍</t>
        </is>
      </c>
      <c r="B29" s="198" t="n"/>
      <c r="C29" s="199" t="n"/>
      <c r="D29" s="199" t="n"/>
      <c r="E29" s="199" t="n"/>
      <c r="F29" s="199" t="n">
        <v>5500</v>
      </c>
      <c r="G29" s="199" t="n"/>
      <c r="H29" s="199" t="n"/>
      <c r="I29" s="199" t="n"/>
      <c r="J29" s="199" t="n"/>
      <c r="K29" s="199" t="n"/>
      <c r="L29" s="199" t="n"/>
      <c r="M29" s="199" t="n"/>
      <c r="N29" s="199" t="n"/>
      <c r="O29" s="199" t="n"/>
      <c r="P29" s="199" t="n"/>
      <c r="Q29" s="199" t="n"/>
      <c r="R29" s="199" t="n"/>
      <c r="S29" s="199" t="n"/>
      <c r="T29" s="199" t="n"/>
      <c r="U29" s="199" t="n"/>
      <c r="V29" s="199" t="n"/>
      <c r="W29" s="199" t="n"/>
      <c r="X29" s="199" t="n"/>
      <c r="Y29" s="199" t="n"/>
      <c r="Z29" s="199" t="n"/>
      <c r="AA29" s="199" t="n"/>
      <c r="AB29" s="199" t="n"/>
      <c r="AC29" s="199" t="n"/>
      <c r="AD29" s="199" t="n"/>
      <c r="AE29" s="200" t="n"/>
      <c r="AF29" s="201">
        <f>SUM(B29:AE29)</f>
        <v/>
      </c>
    </row>
    <row r="30">
      <c r="A30" s="9" t="inlineStr">
        <is>
          <t>서울특징</t>
        </is>
      </c>
      <c r="B30" s="144" t="n"/>
      <c r="C30" s="145" t="n"/>
      <c r="D30" s="145" t="n"/>
      <c r="E30" s="145" t="n"/>
      <c r="F30" s="145" t="n"/>
      <c r="G30" s="145" t="n"/>
      <c r="H30" s="145" t="n"/>
      <c r="I30" s="145" t="n"/>
      <c r="J30" s="145" t="n">
        <v>9690</v>
      </c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5" t="n"/>
      <c r="U30" s="145" t="n"/>
      <c r="V30" s="145" t="n"/>
      <c r="W30" s="145" t="n"/>
      <c r="X30" s="145" t="n"/>
      <c r="Y30" s="145" t="n"/>
      <c r="Z30" s="145" t="n"/>
      <c r="AA30" s="145" t="n"/>
      <c r="AB30" s="145" t="n"/>
      <c r="AC30" s="145" t="n"/>
      <c r="AD30" s="145" t="n"/>
      <c r="AE30" s="146" t="n"/>
      <c r="AF30" s="202">
        <f>SUM(B30:AE30)</f>
        <v/>
      </c>
    </row>
    <row r="31">
      <c r="A31" s="9" t="inlineStr">
        <is>
          <t>국민건강보험</t>
        </is>
      </c>
      <c r="B31" s="144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145" t="n">
        <v>1119740</v>
      </c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  <c r="AA31" s="145" t="n"/>
      <c r="AB31" s="145" t="n"/>
      <c r="AC31" s="145" t="n"/>
      <c r="AD31" s="145" t="n"/>
      <c r="AE31" s="146" t="n"/>
      <c r="AF31" s="202">
        <f>SUM(B31:AE31)</f>
        <v/>
      </c>
    </row>
    <row r="32">
      <c r="A32" s="9" t="inlineStr">
        <is>
          <t>국민연금</t>
        </is>
      </c>
      <c r="B32" s="144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5" t="n">
        <v>430200</v>
      </c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  <c r="AA32" s="145" t="n"/>
      <c r="AB32" s="145" t="n"/>
      <c r="AC32" s="145" t="n"/>
      <c r="AD32" s="145" t="n"/>
      <c r="AE32" s="146" t="n"/>
      <c r="AF32" s="202">
        <f>SUM(B32:AE32)</f>
        <v/>
      </c>
    </row>
    <row r="33">
      <c r="A33" s="9" t="inlineStr">
        <is>
          <t>고용보험</t>
        </is>
      </c>
      <c r="B33" s="144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>
        <v>125740</v>
      </c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6" t="n"/>
      <c r="AF33" s="202">
        <f>SUM(B33:AE33)</f>
        <v/>
      </c>
    </row>
    <row r="34">
      <c r="A34" s="9" t="inlineStr">
        <is>
          <t>산재보험</t>
        </is>
      </c>
      <c r="B34" s="144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>
        <v>90830</v>
      </c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145" t="n"/>
      <c r="AE34" s="146" t="n"/>
      <c r="AF34" s="202">
        <f>SUM(B34:AE34)</f>
        <v/>
      </c>
    </row>
    <row r="35">
      <c r="A35" s="9" t="inlineStr">
        <is>
          <t>SK인텔릭스</t>
        </is>
      </c>
      <c r="B35" s="144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>
        <v>25900</v>
      </c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6" t="n"/>
      <c r="AF35" s="202">
        <f>SUM(B35:AE35)</f>
        <v/>
      </c>
    </row>
    <row r="36">
      <c r="A36" s="9" t="inlineStr">
        <is>
          <t>S1(N5851892)</t>
        </is>
      </c>
      <c r="B36" s="144" t="n"/>
      <c r="C36" s="145" t="n"/>
      <c r="D36" s="145" t="n"/>
      <c r="E36" s="145" t="n"/>
      <c r="F36" s="145" t="n">
        <v>44000</v>
      </c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6" t="n"/>
      <c r="AF36" s="202" t="n"/>
    </row>
    <row r="37">
      <c r="A37" s="9" t="inlineStr">
        <is>
          <t>한화손해보험</t>
        </is>
      </c>
      <c r="B37" s="144" t="n"/>
      <c r="C37" s="145" t="n"/>
      <c r="D37" s="145" t="n"/>
      <c r="E37" s="145" t="n"/>
      <c r="F37" s="145" t="n">
        <v>30000</v>
      </c>
      <c r="G37" s="145" t="n"/>
      <c r="H37" s="145" t="n"/>
      <c r="I37" s="145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6" t="n"/>
      <c r="AF37" s="202" t="n"/>
    </row>
    <row r="38">
      <c r="A38" s="9" t="inlineStr">
        <is>
          <t>메리츠화재</t>
        </is>
      </c>
      <c r="B38" s="144" t="n"/>
      <c r="C38" s="145" t="n"/>
      <c r="D38" s="145" t="n"/>
      <c r="E38" s="145" t="n"/>
      <c r="F38" s="145" t="n">
        <v>46190</v>
      </c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6" t="n"/>
      <c r="AF38" s="202" t="n"/>
    </row>
    <row r="39">
      <c r="A39" s="9" t="inlineStr">
        <is>
          <t>KT통신요금</t>
        </is>
      </c>
      <c r="B39" s="144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>
        <v>22870</v>
      </c>
      <c r="X39" s="145" t="n"/>
      <c r="Y39" s="145" t="n"/>
      <c r="Z39" s="145" t="n"/>
      <c r="AA39" s="145" t="n"/>
      <c r="AB39" s="145" t="n"/>
      <c r="AC39" s="145" t="n"/>
      <c r="AD39" s="145" t="n"/>
      <c r="AE39" s="146" t="n"/>
      <c r="AF39" s="202">
        <f>SUM(B39:AE39)</f>
        <v/>
      </c>
    </row>
    <row r="40" ht="17.5" customHeight="1" thickBot="1">
      <c r="A40" s="9" t="inlineStr">
        <is>
          <t>CM보험</t>
        </is>
      </c>
      <c r="B40" s="144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>
        <v>290500</v>
      </c>
      <c r="AB40" s="145" t="n"/>
      <c r="AC40" s="145" t="n"/>
      <c r="AD40" s="145" t="n"/>
      <c r="AE40" s="146" t="n"/>
      <c r="AF40" s="203">
        <f>SUM(B40:AE40)</f>
        <v/>
      </c>
    </row>
    <row r="41" ht="30" customHeight="1" thickBot="1">
      <c r="A41" s="26" t="n"/>
      <c r="B41" s="204">
        <f>SUM(B29:B40)</f>
        <v/>
      </c>
      <c r="C41" s="204">
        <f>SUM(C29:C40)</f>
        <v/>
      </c>
      <c r="D41" s="204">
        <f>SUM(D29:D40)</f>
        <v/>
      </c>
      <c r="E41" s="204">
        <f>SUM(E29:E40)</f>
        <v/>
      </c>
      <c r="F41" s="204">
        <f>SUM(F29:F40)</f>
        <v/>
      </c>
      <c r="G41" s="204">
        <f>SUM(G29:G40)</f>
        <v/>
      </c>
      <c r="H41" s="204">
        <f>SUM(H29:H40)</f>
        <v/>
      </c>
      <c r="I41" s="204">
        <f>SUM(I29:I40)</f>
        <v/>
      </c>
      <c r="J41" s="204">
        <f>SUM(J29:J40)</f>
        <v/>
      </c>
      <c r="K41" s="204">
        <f>SUM(K29:K40)</f>
        <v/>
      </c>
      <c r="L41" s="204">
        <f>SUM(L29:L40)</f>
        <v/>
      </c>
      <c r="M41" s="204">
        <f>SUM(M29:M40)</f>
        <v/>
      </c>
      <c r="N41" s="204">
        <f>SUM(N29:N40)</f>
        <v/>
      </c>
      <c r="O41" s="204">
        <f>SUM(O29:O40)</f>
        <v/>
      </c>
      <c r="P41" s="204">
        <f>SUM(P29:P40)</f>
        <v/>
      </c>
      <c r="Q41" s="204">
        <f>SUM(Q29:Q40)</f>
        <v/>
      </c>
      <c r="R41" s="204">
        <f>SUM(R29:R40)</f>
        <v/>
      </c>
      <c r="S41" s="204">
        <f>SUM(S29:S40)</f>
        <v/>
      </c>
      <c r="T41" s="204">
        <f>SUM(T29:T40)</f>
        <v/>
      </c>
      <c r="U41" s="204">
        <f>SUM(U29:U40)</f>
        <v/>
      </c>
      <c r="V41" s="204">
        <f>SUM(V29:V40)</f>
        <v/>
      </c>
      <c r="W41" s="204">
        <f>SUM(W29:W40)</f>
        <v/>
      </c>
      <c r="X41" s="204">
        <f>SUM(X29:X40)</f>
        <v/>
      </c>
      <c r="Y41" s="204">
        <f>SUM(Y29:Y40)</f>
        <v/>
      </c>
      <c r="Z41" s="204">
        <f>SUM(Z29:Z40)</f>
        <v/>
      </c>
      <c r="AA41" s="204">
        <f>SUM(AA29:AA40)</f>
        <v/>
      </c>
      <c r="AB41" s="204">
        <f>SUM(AB29:AB40)</f>
        <v/>
      </c>
      <c r="AC41" s="204">
        <f>SUM(AC29:AC40)</f>
        <v/>
      </c>
      <c r="AD41" s="204">
        <f>SUM(AD29:AD40)</f>
        <v/>
      </c>
      <c r="AE41" s="204">
        <f>SUM(AE29:AE40)</f>
        <v/>
      </c>
      <c r="AF41" s="205">
        <f>SUM(AF29:AF40)</f>
        <v/>
      </c>
    </row>
    <row r="42">
      <c r="A42" s="9" t="inlineStr">
        <is>
          <t>영존임대료</t>
        </is>
      </c>
      <c r="B42" s="144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  <c r="AA42" s="145" t="n"/>
      <c r="AB42" s="145" t="n"/>
      <c r="AC42" s="145" t="n"/>
      <c r="AD42" s="145" t="n"/>
      <c r="AE42" s="146" t="n">
        <v>4763000</v>
      </c>
      <c r="AF42" s="206">
        <f>SUM(B42:AE42)</f>
        <v/>
      </c>
    </row>
    <row r="43">
      <c r="A43" s="9" t="inlineStr">
        <is>
          <t>영존관리비</t>
        </is>
      </c>
      <c r="B43" s="144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  <c r="AA43" s="145" t="n"/>
      <c r="AB43" s="145" t="n"/>
      <c r="AC43" s="145" t="n"/>
      <c r="AD43" s="145" t="n"/>
      <c r="AE43" s="146" t="n">
        <v>1261300</v>
      </c>
      <c r="AF43" s="202">
        <f>SUM(B43:AE43)</f>
        <v/>
      </c>
    </row>
    <row r="44" ht="29.5" customHeight="1" thickBot="1">
      <c r="A44" s="24" t="n"/>
      <c r="B44" s="207">
        <f>SUM(B42:B43)</f>
        <v/>
      </c>
      <c r="C44" s="207">
        <f>SUM(C42:C43)</f>
        <v/>
      </c>
      <c r="D44" s="207">
        <f>SUM(D42:D43)</f>
        <v/>
      </c>
      <c r="E44" s="207">
        <f>SUM(E42:E43)</f>
        <v/>
      </c>
      <c r="F44" s="207">
        <f>SUM(F42:F43)</f>
        <v/>
      </c>
      <c r="G44" s="207">
        <f>SUM(G42:G43)</f>
        <v/>
      </c>
      <c r="H44" s="207">
        <f>SUM(H42:H43)</f>
        <v/>
      </c>
      <c r="I44" s="207">
        <f>SUM(I42:I43)</f>
        <v/>
      </c>
      <c r="J44" s="207">
        <f>SUM(J42:J43)</f>
        <v/>
      </c>
      <c r="K44" s="207">
        <f>SUM(K42:K43)</f>
        <v/>
      </c>
      <c r="L44" s="207">
        <f>SUM(L42:L43)</f>
        <v/>
      </c>
      <c r="M44" s="207">
        <f>SUM(M42:M43)</f>
        <v/>
      </c>
      <c r="N44" s="207">
        <f>SUM(N42:N43)</f>
        <v/>
      </c>
      <c r="O44" s="207">
        <f>SUM(O42:O43)</f>
        <v/>
      </c>
      <c r="P44" s="207">
        <f>SUM(P42:P43)</f>
        <v/>
      </c>
      <c r="Q44" s="207">
        <f>SUM(Q42:Q43)</f>
        <v/>
      </c>
      <c r="R44" s="207">
        <f>SUM(R42:R43)</f>
        <v/>
      </c>
      <c r="S44" s="207">
        <f>SUM(S42:S43)</f>
        <v/>
      </c>
      <c r="T44" s="207">
        <f>SUM(T42:T43)</f>
        <v/>
      </c>
      <c r="U44" s="207">
        <f>SUM(U42:U43)</f>
        <v/>
      </c>
      <c r="V44" s="207">
        <f>SUM(V42:V43)</f>
        <v/>
      </c>
      <c r="W44" s="207">
        <f>SUM(W42:W43)</f>
        <v/>
      </c>
      <c r="X44" s="207">
        <f>SUM(X42:X43)</f>
        <v/>
      </c>
      <c r="Y44" s="207">
        <f>SUM(Y42:Y43)</f>
        <v/>
      </c>
      <c r="Z44" s="207">
        <f>SUM(Z42:Z43)</f>
        <v/>
      </c>
      <c r="AA44" s="207">
        <f>SUM(AA42:AA43)</f>
        <v/>
      </c>
      <c r="AB44" s="207">
        <f>SUM(AB42:AB43)</f>
        <v/>
      </c>
      <c r="AC44" s="207">
        <f>SUM(AC42:AC43)</f>
        <v/>
      </c>
      <c r="AD44" s="207">
        <f>SUM(AD42:AD43)</f>
        <v/>
      </c>
      <c r="AE44" s="207">
        <f>SUM(AE42:AE43)</f>
        <v/>
      </c>
      <c r="AF44" s="208">
        <f>SUM(AF42:AF43)</f>
        <v/>
      </c>
    </row>
  </sheetData>
  <mergeCells count="1">
    <mergeCell ref="A1:A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topLeftCell="A2" zoomScaleNormal="100" workbookViewId="0">
      <pane ySplit="1" topLeftCell="A3" activePane="bottomLeft" state="frozen"/>
      <selection activeCell="A2" sqref="A2"/>
      <selection pane="bottomLeft" activeCell="AF19" sqref="AF19"/>
    </sheetView>
  </sheetViews>
  <sheetFormatPr baseColWidth="8" defaultRowHeight="17"/>
  <cols>
    <col width="21.9140625" customWidth="1" style="2" min="1" max="1"/>
    <col width="12.25" customWidth="1" style="124" min="2" max="10"/>
    <col width="13.58203125" customWidth="1" style="124" min="11" max="11"/>
    <col width="12.25" customWidth="1" style="124" min="12" max="30"/>
    <col width="13.83203125" customWidth="1" style="124" min="31" max="31"/>
    <col width="14.4140625" customWidth="1" style="124" min="32" max="32"/>
    <col width="14.4140625" customWidth="1" style="2" min="33" max="33"/>
    <col width="8.6640625" customWidth="1" style="2" min="34" max="16384"/>
  </cols>
  <sheetData>
    <row r="1" hidden="1" ht="38" customHeight="1" thickBot="1">
      <c r="A1" s="121" t="inlineStr">
        <is>
          <t>일별 거래내역서 (2025.9월)</t>
        </is>
      </c>
    </row>
    <row r="2" ht="24" customHeight="1">
      <c r="A2" s="8" t="n"/>
      <c r="B2" s="190" t="n">
        <v>1</v>
      </c>
      <c r="C2" s="191" t="n">
        <v>2</v>
      </c>
      <c r="D2" s="191" t="n">
        <v>3</v>
      </c>
      <c r="E2" s="191" t="n">
        <v>4</v>
      </c>
      <c r="F2" s="191" t="n">
        <v>5</v>
      </c>
      <c r="G2" s="191" t="n">
        <v>6</v>
      </c>
      <c r="H2" s="191" t="n">
        <v>7</v>
      </c>
      <c r="I2" s="191" t="n">
        <v>8</v>
      </c>
      <c r="J2" s="191" t="n">
        <v>9</v>
      </c>
      <c r="K2" s="191" t="n">
        <v>10</v>
      </c>
      <c r="L2" s="191" t="n">
        <v>11</v>
      </c>
      <c r="M2" s="191" t="n">
        <v>12</v>
      </c>
      <c r="N2" s="191" t="n">
        <v>13</v>
      </c>
      <c r="O2" s="191" t="n">
        <v>14</v>
      </c>
      <c r="P2" s="191" t="n">
        <v>15</v>
      </c>
      <c r="Q2" s="191" t="n">
        <v>16</v>
      </c>
      <c r="R2" s="191" t="n">
        <v>17</v>
      </c>
      <c r="S2" s="191" t="n">
        <v>18</v>
      </c>
      <c r="T2" s="191" t="n">
        <v>19</v>
      </c>
      <c r="U2" s="191" t="n">
        <v>20</v>
      </c>
      <c r="V2" s="191" t="n">
        <v>21</v>
      </c>
      <c r="W2" s="191" t="n">
        <v>22</v>
      </c>
      <c r="X2" s="191" t="n">
        <v>23</v>
      </c>
      <c r="Y2" s="191" t="n">
        <v>24</v>
      </c>
      <c r="Z2" s="191" t="n">
        <v>25</v>
      </c>
      <c r="AA2" s="191" t="n">
        <v>26</v>
      </c>
      <c r="AB2" s="191" t="n">
        <v>27</v>
      </c>
      <c r="AC2" s="191" t="n">
        <v>28</v>
      </c>
      <c r="AD2" s="191" t="n">
        <v>29</v>
      </c>
      <c r="AE2" s="192" t="n">
        <v>30</v>
      </c>
      <c r="AF2" s="192" t="n">
        <v>31</v>
      </c>
      <c r="AG2" s="19" t="n"/>
    </row>
    <row r="3">
      <c r="A3" s="9" t="inlineStr">
        <is>
          <t>고구마켓(은제민)</t>
        </is>
      </c>
      <c r="B3" s="144" t="n"/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>
        <v>581000</v>
      </c>
      <c r="L3" s="145" t="n"/>
      <c r="M3" s="145" t="n"/>
      <c r="N3" s="145" t="n"/>
      <c r="O3" s="145" t="n">
        <v>195000</v>
      </c>
      <c r="P3" s="145" t="n">
        <v>300000</v>
      </c>
      <c r="Q3" s="145" t="n"/>
      <c r="R3" s="145" t="n"/>
      <c r="S3" s="145" t="n"/>
      <c r="T3" s="145" t="n"/>
      <c r="U3" s="145" t="n">
        <v>180000</v>
      </c>
      <c r="V3" s="145" t="n"/>
      <c r="W3" s="145" t="n">
        <v>300000</v>
      </c>
      <c r="X3" s="145" t="n"/>
      <c r="Y3" s="145" t="n"/>
      <c r="Z3" s="145" t="n"/>
      <c r="AA3" s="145" t="n"/>
      <c r="AB3" s="145" t="n">
        <v>180000</v>
      </c>
      <c r="AC3" s="145" t="n"/>
      <c r="AD3" s="145" t="n">
        <v>360000</v>
      </c>
      <c r="AE3" s="146" t="n"/>
      <c r="AF3" s="146" t="n"/>
      <c r="AG3" s="193">
        <f>SUM(B3:AF3)</f>
        <v/>
      </c>
    </row>
    <row r="4">
      <c r="A4" s="9" t="inlineStr">
        <is>
          <t>찬들농산(김영민)</t>
        </is>
      </c>
      <c r="B4" s="144" t="n"/>
      <c r="C4" s="145" t="n">
        <v>78000</v>
      </c>
      <c r="D4" s="145" t="n">
        <v>16300</v>
      </c>
      <c r="E4" s="145" t="n"/>
      <c r="F4" s="145" t="n"/>
      <c r="G4" s="145" t="n"/>
      <c r="H4" s="145" t="n"/>
      <c r="I4" s="145" t="n"/>
      <c r="J4" s="145" t="n">
        <v>30000</v>
      </c>
      <c r="K4" s="145" t="n">
        <v>82000</v>
      </c>
      <c r="L4" s="145" t="n"/>
      <c r="M4" s="145" t="n"/>
      <c r="N4" s="145" t="n">
        <v>22000</v>
      </c>
      <c r="O4" s="145" t="n">
        <v>94000</v>
      </c>
      <c r="P4" s="145" t="n"/>
      <c r="Q4" s="145" t="n">
        <v>49000</v>
      </c>
      <c r="R4" s="145" t="n">
        <v>89000</v>
      </c>
      <c r="S4" s="145" t="n"/>
      <c r="T4" s="145" t="n"/>
      <c r="U4" s="145" t="n">
        <v>22000</v>
      </c>
      <c r="V4" s="145" t="n">
        <v>101500</v>
      </c>
      <c r="W4" s="145" t="n"/>
      <c r="X4" s="145" t="n"/>
      <c r="Y4" s="145" t="n">
        <v>170000</v>
      </c>
      <c r="Z4" s="145" t="n"/>
      <c r="AA4" s="145" t="n"/>
      <c r="AB4" s="145" t="n">
        <v>26200</v>
      </c>
      <c r="AC4" s="145" t="n">
        <v>67000</v>
      </c>
      <c r="AD4" s="145" t="n"/>
      <c r="AE4" s="146" t="n"/>
      <c r="AF4" s="146" t="n">
        <v>72000</v>
      </c>
      <c r="AG4" s="193">
        <f>SUM(B4:AF4)</f>
        <v/>
      </c>
    </row>
    <row r="5">
      <c r="A5" s="9" t="inlineStr">
        <is>
          <t>홍성상회(최희상)</t>
        </is>
      </c>
      <c r="B5" s="144" t="n"/>
      <c r="C5" s="145" t="n"/>
      <c r="D5" s="145" t="n"/>
      <c r="E5" s="145" t="n"/>
      <c r="F5" s="145" t="n"/>
      <c r="G5" s="145" t="n"/>
      <c r="H5" s="145" t="n"/>
      <c r="I5" s="145" t="n"/>
      <c r="J5" s="145" t="n">
        <v>64000</v>
      </c>
      <c r="K5" s="145" t="n"/>
      <c r="L5" s="145" t="n"/>
      <c r="M5" s="145" t="n"/>
      <c r="N5" s="145" t="n">
        <v>64000</v>
      </c>
      <c r="O5" s="145" t="n"/>
      <c r="P5" s="145" t="n"/>
      <c r="Q5" s="145" t="n"/>
      <c r="R5" s="145" t="n">
        <v>64000</v>
      </c>
      <c r="S5" s="145" t="n"/>
      <c r="T5" s="145" t="n"/>
      <c r="U5" s="145" t="n">
        <v>64000</v>
      </c>
      <c r="V5" s="145" t="n"/>
      <c r="W5" s="145" t="n"/>
      <c r="X5" s="145" t="n">
        <v>32000</v>
      </c>
      <c r="Y5" s="145" t="n"/>
      <c r="Z5" s="145" t="n"/>
      <c r="AA5" s="145" t="n"/>
      <c r="AB5" s="145" t="n">
        <v>64000</v>
      </c>
      <c r="AC5" s="145" t="n"/>
      <c r="AD5" s="145" t="n"/>
      <c r="AE5" s="146" t="n">
        <v>32000</v>
      </c>
      <c r="AF5" s="146" t="inlineStr">
        <is>
          <t> </t>
        </is>
      </c>
      <c r="AG5" s="193">
        <f>SUM(B5:AF5)</f>
        <v/>
      </c>
    </row>
    <row r="6">
      <c r="A6" s="9" t="inlineStr">
        <is>
          <t>조양마트</t>
        </is>
      </c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6" t="n"/>
      <c r="AF6" s="146" t="n"/>
      <c r="AG6" s="193">
        <f>SUM(B6:AF6)</f>
        <v/>
      </c>
    </row>
    <row r="7">
      <c r="A7" s="9" t="inlineStr">
        <is>
          <t>㈜용담유통</t>
        </is>
      </c>
      <c r="B7" s="144" t="n"/>
      <c r="C7" s="145" t="n"/>
      <c r="D7" s="145" t="n">
        <v>7300</v>
      </c>
      <c r="E7" s="145" t="n"/>
      <c r="F7" s="145" t="n"/>
      <c r="G7" s="145" t="n"/>
      <c r="H7" s="145" t="n"/>
      <c r="I7" s="145" t="n"/>
      <c r="J7" s="145" t="n">
        <v>17600</v>
      </c>
      <c r="K7" s="145" t="n"/>
      <c r="L7" s="145" t="n"/>
      <c r="M7" s="145" t="n"/>
      <c r="N7" s="145" t="n">
        <v>14400</v>
      </c>
      <c r="O7" s="145" t="n">
        <v>14400</v>
      </c>
      <c r="P7" s="145" t="n"/>
      <c r="Q7" s="145" t="n">
        <v>13800</v>
      </c>
      <c r="R7" s="145" t="n"/>
      <c r="S7" s="145" t="n"/>
      <c r="T7" s="145" t="n"/>
      <c r="U7" s="145" t="n">
        <v>14000</v>
      </c>
      <c r="V7" s="145" t="n">
        <v>13400</v>
      </c>
      <c r="W7" s="145" t="n"/>
      <c r="X7" s="145" t="n">
        <v>14400</v>
      </c>
      <c r="Y7" s="145" t="n">
        <v>19100</v>
      </c>
      <c r="Z7" s="145" t="n"/>
      <c r="AA7" s="145" t="n"/>
      <c r="AB7" s="145" t="n">
        <v>13400</v>
      </c>
      <c r="AC7" s="145" t="n"/>
      <c r="AD7" s="145" t="n"/>
      <c r="AE7" s="146" t="n">
        <v>6600</v>
      </c>
      <c r="AF7" s="146" t="n">
        <v>19800</v>
      </c>
      <c r="AG7" s="193">
        <f>SUM(B7:AF7)</f>
        <v/>
      </c>
    </row>
    <row r="8">
      <c r="A8" s="9" t="inlineStr">
        <is>
          <t>㈜에코두레</t>
        </is>
      </c>
      <c r="B8" s="144" t="n"/>
      <c r="C8" s="145" t="n">
        <v>49500</v>
      </c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>
        <v>123750</v>
      </c>
      <c r="Z8" s="145" t="n"/>
      <c r="AA8" s="145" t="n"/>
      <c r="AB8" s="145" t="n"/>
      <c r="AC8" s="145" t="n"/>
      <c r="AD8" s="145" t="n"/>
      <c r="AE8" s="146" t="n"/>
      <c r="AF8" s="146" t="n"/>
      <c r="AG8" s="193">
        <f>SUM(B8:AF8)</f>
        <v/>
      </c>
    </row>
    <row r="9">
      <c r="A9" s="9" t="inlineStr">
        <is>
          <t>코스트코</t>
        </is>
      </c>
      <c r="B9" s="144" t="n"/>
      <c r="C9" s="145" t="n"/>
      <c r="D9" s="145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6" t="n"/>
      <c r="AF9" s="146" t="n"/>
      <c r="AG9" s="193">
        <f>SUM(B9:AF9)</f>
        <v/>
      </c>
    </row>
    <row r="10">
      <c r="A10" s="9" t="inlineStr">
        <is>
          <t>트레이더스</t>
        </is>
      </c>
      <c r="B10" s="144" t="n"/>
      <c r="C10" s="145" t="n"/>
      <c r="D10" s="145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6" t="n"/>
      <c r="AF10" s="146" t="n"/>
      <c r="AG10" s="193">
        <f>SUM(B10:AF10)</f>
        <v/>
      </c>
    </row>
    <row r="11">
      <c r="A11" s="9" t="inlineStr">
        <is>
          <t>이마트</t>
        </is>
      </c>
      <c r="B11" s="144" t="n"/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6" t="n"/>
      <c r="AF11" s="146" t="n"/>
      <c r="AG11" s="193">
        <f>SUM(B11:AF11)</f>
        <v/>
      </c>
    </row>
    <row r="12">
      <c r="A12" s="9" t="inlineStr">
        <is>
          <t>상대유통㈜</t>
        </is>
      </c>
      <c r="B12" s="144" t="n"/>
      <c r="C12" s="145" t="n"/>
      <c r="D12" s="145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  <c r="AA12" s="145" t="n"/>
      <c r="AB12" s="145" t="n"/>
      <c r="AC12" s="145" t="n"/>
      <c r="AD12" s="145" t="n"/>
      <c r="AE12" s="146" t="n"/>
      <c r="AF12" s="146" t="n"/>
      <c r="AG12" s="193">
        <f>SUM(B12:AF12)</f>
        <v/>
      </c>
    </row>
    <row r="13">
      <c r="A13" s="9" t="inlineStr">
        <is>
          <t>다농마트</t>
        </is>
      </c>
      <c r="B13" s="144" t="n"/>
      <c r="C13" s="145" t="n"/>
      <c r="D13" s="145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  <c r="AA13" s="145" t="n"/>
      <c r="AB13" s="145" t="n"/>
      <c r="AC13" s="145" t="n"/>
      <c r="AD13" s="145" t="n"/>
      <c r="AE13" s="146" t="n"/>
      <c r="AF13" s="146" t="n"/>
      <c r="AG13" s="193">
        <f>SUM(B13:AF13)</f>
        <v/>
      </c>
    </row>
    <row r="14">
      <c r="A14" s="9" t="inlineStr">
        <is>
          <t>(주)유창</t>
        </is>
      </c>
      <c r="B14" s="144" t="n"/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  <c r="AA14" s="145" t="n"/>
      <c r="AB14" s="145" t="n"/>
      <c r="AC14" s="145" t="n"/>
      <c r="AD14" s="145" t="n"/>
      <c r="AE14" s="146" t="n"/>
      <c r="AF14" s="146" t="n"/>
      <c r="AG14" s="193">
        <f>SUM(B14:AF14)</f>
        <v/>
      </c>
    </row>
    <row r="15">
      <c r="A15" s="9" t="inlineStr">
        <is>
          <t>대한유통</t>
        </is>
      </c>
      <c r="B15" s="144" t="n"/>
      <c r="C15" s="145" t="n"/>
      <c r="D15" s="145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  <c r="AA15" s="145" t="n"/>
      <c r="AB15" s="145" t="n"/>
      <c r="AC15" s="145" t="n"/>
      <c r="AD15" s="145" t="n"/>
      <c r="AE15" s="146" t="n"/>
      <c r="AF15" s="146" t="n"/>
      <c r="AG15" s="193">
        <f>SUM(B15:AF15)</f>
        <v/>
      </c>
    </row>
    <row r="16">
      <c r="A16" s="9" t="inlineStr">
        <is>
          <t>재우상회</t>
        </is>
      </c>
      <c r="B16" s="144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  <c r="AA16" s="145" t="n"/>
      <c r="AB16" s="145" t="n"/>
      <c r="AC16" s="145" t="n"/>
      <c r="AD16" s="145" t="n"/>
      <c r="AE16" s="146" t="n"/>
      <c r="AF16" s="146" t="n"/>
      <c r="AG16" s="193">
        <f>SUM(B16:AF16)</f>
        <v/>
      </c>
    </row>
    <row r="17">
      <c r="A17" s="9" t="inlineStr">
        <is>
          <t>㈜에스에프앤비</t>
        </is>
      </c>
      <c r="B17" s="144" t="n"/>
      <c r="C17" s="145" t="n"/>
      <c r="D17" s="145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6" t="n"/>
      <c r="AF17" s="146" t="n"/>
      <c r="AG17" s="193">
        <f>SUM(B17:AF17)</f>
        <v/>
      </c>
    </row>
    <row r="18">
      <c r="A18" s="9" t="inlineStr">
        <is>
          <t>용산식품</t>
        </is>
      </c>
      <c r="B18" s="144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6" t="n"/>
      <c r="AF18" s="146" t="n"/>
      <c r="AG18" s="193">
        <f>SUM(B18:AF18)</f>
        <v/>
      </c>
    </row>
    <row r="19">
      <c r="A19" s="9" t="inlineStr">
        <is>
          <t>쿠팡</t>
        </is>
      </c>
      <c r="B19" s="144" t="n">
        <v>21900</v>
      </c>
      <c r="C19" s="145" t="n"/>
      <c r="D19" s="145" t="n"/>
      <c r="E19" s="145" t="n"/>
      <c r="F19" s="145" t="n"/>
      <c r="G19" s="145" t="n"/>
      <c r="H19" s="145" t="n">
        <v>7890</v>
      </c>
      <c r="I19" s="145" t="n"/>
      <c r="J19" s="145" t="n">
        <v>104750</v>
      </c>
      <c r="K19" s="145" t="n"/>
      <c r="L19" s="145" t="n">
        <v>40905</v>
      </c>
      <c r="M19" s="145" t="n"/>
      <c r="N19" s="145" t="n">
        <v>18900</v>
      </c>
      <c r="O19" s="145" t="n"/>
      <c r="P19" s="145" t="n">
        <v>164000</v>
      </c>
      <c r="Q19" s="145" t="n"/>
      <c r="R19" s="145" t="n"/>
      <c r="S19" s="145" t="n"/>
      <c r="T19" s="145" t="n"/>
      <c r="U19" s="145" t="n">
        <v>161830</v>
      </c>
      <c r="V19" s="145" t="n"/>
      <c r="W19" s="145" t="n">
        <v>39900</v>
      </c>
      <c r="X19" s="145" t="n">
        <v>16425</v>
      </c>
      <c r="Y19" s="145" t="n">
        <v>41340</v>
      </c>
      <c r="Z19" s="145" t="n">
        <v>39900</v>
      </c>
      <c r="AA19" s="145" t="n"/>
      <c r="AB19" s="145" t="n">
        <v>22200</v>
      </c>
      <c r="AC19" s="145" t="n">
        <v>17950</v>
      </c>
      <c r="AD19" s="145" t="n"/>
      <c r="AE19" s="146" t="n">
        <v>63030</v>
      </c>
      <c r="AF19" s="146" t="n"/>
      <c r="AG19" s="193">
        <f>SUM(B19:AF19)</f>
        <v/>
      </c>
    </row>
    <row r="20">
      <c r="A20" s="9" t="inlineStr">
        <is>
          <t>배민상회</t>
        </is>
      </c>
      <c r="B20" s="144" t="n"/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6" t="n"/>
      <c r="AF20" s="146" t="n"/>
      <c r="AG20" s="193">
        <f>SUM(B20:AF20)</f>
        <v/>
      </c>
    </row>
    <row r="21">
      <c r="A21" s="9" t="inlineStr">
        <is>
          <t>다인푸드닷컴</t>
        </is>
      </c>
      <c r="B21" s="144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  <c r="AA21" s="145" t="n"/>
      <c r="AB21" s="145" t="n"/>
      <c r="AC21" s="145" t="n"/>
      <c r="AD21" s="145" t="n"/>
      <c r="AE21" s="146" t="n"/>
      <c r="AF21" s="146" t="n"/>
      <c r="AG21" s="193">
        <f>SUM(B21:AF21)</f>
        <v/>
      </c>
    </row>
    <row r="22">
      <c r="A22" s="9" t="inlineStr">
        <is>
          <t>㈜한주주방아웃렛</t>
        </is>
      </c>
      <c r="B22" s="144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6" t="n"/>
      <c r="AF22" s="146" t="n"/>
      <c r="AG22" s="193">
        <f>SUM(B22:AF22)</f>
        <v/>
      </c>
    </row>
    <row r="23">
      <c r="A23" s="9" t="inlineStr">
        <is>
          <t>㈜신진상사</t>
        </is>
      </c>
      <c r="B23" s="144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  <c r="AA23" s="145" t="n"/>
      <c r="AB23" s="145" t="n"/>
      <c r="AC23" s="145" t="n"/>
      <c r="AD23" s="145" t="n"/>
      <c r="AE23" s="146" t="n"/>
      <c r="AF23" s="146" t="n"/>
      <c r="AG23" s="193">
        <f>SUM(B23:AF23)</f>
        <v/>
      </c>
    </row>
    <row r="24">
      <c r="A24" s="9" t="inlineStr">
        <is>
          <t>창미포장기계(유용운)</t>
        </is>
      </c>
      <c r="B24" s="144" t="n"/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>
        <v>67100</v>
      </c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>
        <v>66200</v>
      </c>
      <c r="AC24" s="145" t="n"/>
      <c r="AD24" s="145" t="n"/>
      <c r="AE24" s="146" t="n"/>
      <c r="AF24" s="146" t="n"/>
      <c r="AG24" s="193">
        <f>SUM(B24:AF24)</f>
        <v/>
      </c>
    </row>
    <row r="25">
      <c r="A25" s="9" t="inlineStr">
        <is>
          <t>에너지삼천</t>
        </is>
      </c>
      <c r="B25" s="144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  <c r="AA25" s="145" t="n"/>
      <c r="AB25" s="145" t="n"/>
      <c r="AC25" s="145" t="n"/>
      <c r="AD25" s="145" t="n"/>
      <c r="AE25" s="146" t="n"/>
      <c r="AF25" s="146" t="n"/>
      <c r="AG25" s="193">
        <f>SUM(B25:AF25)</f>
        <v/>
      </c>
    </row>
    <row r="26">
      <c r="A26" s="9" t="inlineStr">
        <is>
          <t>새로피엔엘</t>
        </is>
      </c>
      <c r="B26" s="144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6" t="n"/>
      <c r="AF26" s="146" t="n"/>
      <c r="AG26" s="193">
        <f>SUM(B26:AF26)</f>
        <v/>
      </c>
    </row>
    <row r="27" ht="17.5" customHeight="1" thickBot="1">
      <c r="A27" s="9" t="inlineStr">
        <is>
          <t>태영유통</t>
        </is>
      </c>
      <c r="B27" s="144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6" t="n"/>
      <c r="AF27" s="146" t="n"/>
      <c r="AG27" s="194">
        <f>SUM(B27:AF27)</f>
        <v/>
      </c>
    </row>
    <row r="28" ht="29" customHeight="1" thickBot="1">
      <c r="A28" s="10" t="n"/>
      <c r="B28" s="195">
        <f>SUM(B3:B27)</f>
        <v/>
      </c>
      <c r="C28" s="195">
        <f>SUM(C3:C27)</f>
        <v/>
      </c>
      <c r="D28" s="195">
        <f>SUM(D3:D27)</f>
        <v/>
      </c>
      <c r="E28" s="195">
        <f>SUM(E3:E27)</f>
        <v/>
      </c>
      <c r="F28" s="195">
        <f>SUM(F3:F27)</f>
        <v/>
      </c>
      <c r="G28" s="195">
        <f>SUM(G3:G27)</f>
        <v/>
      </c>
      <c r="H28" s="195">
        <f>SUM(H3:H27)</f>
        <v/>
      </c>
      <c r="I28" s="195">
        <f>SUM(I3:I27)</f>
        <v/>
      </c>
      <c r="J28" s="195">
        <f>SUM(J3:J27)</f>
        <v/>
      </c>
      <c r="K28" s="195">
        <f>SUM(K3:K27)</f>
        <v/>
      </c>
      <c r="L28" s="195">
        <f>SUM(L3:L27)</f>
        <v/>
      </c>
      <c r="M28" s="195">
        <f>SUM(M3:M27)</f>
        <v/>
      </c>
      <c r="N28" s="195">
        <f>SUM(N3:N27)</f>
        <v/>
      </c>
      <c r="O28" s="195">
        <f>SUM(O3:O27)</f>
        <v/>
      </c>
      <c r="P28" s="195">
        <f>SUM(P3:P27)</f>
        <v/>
      </c>
      <c r="Q28" s="195">
        <f>SUM(Q3:Q27)</f>
        <v/>
      </c>
      <c r="R28" s="195">
        <f>SUM(R3:R27)</f>
        <v/>
      </c>
      <c r="S28" s="195">
        <f>SUM(S3:S27)</f>
        <v/>
      </c>
      <c r="T28" s="195">
        <f>SUM(T3:T27)</f>
        <v/>
      </c>
      <c r="U28" s="195">
        <f>SUM(U3:U27)</f>
        <v/>
      </c>
      <c r="V28" s="195">
        <f>SUM(V3:V27)</f>
        <v/>
      </c>
      <c r="W28" s="195">
        <f>SUM(W3:W27)</f>
        <v/>
      </c>
      <c r="X28" s="195">
        <f>SUM(X3:X27)</f>
        <v/>
      </c>
      <c r="Y28" s="195">
        <f>SUM(Y3:Y27)</f>
        <v/>
      </c>
      <c r="Z28" s="195">
        <f>SUM(Z3:Z27)</f>
        <v/>
      </c>
      <c r="AA28" s="195">
        <f>SUM(AA3:AA27)</f>
        <v/>
      </c>
      <c r="AB28" s="195">
        <f>SUM(AB3:AB27)</f>
        <v/>
      </c>
      <c r="AC28" s="195">
        <f>SUM(AC3:AC27)</f>
        <v/>
      </c>
      <c r="AD28" s="195">
        <f>SUM(AD3:AD27)</f>
        <v/>
      </c>
      <c r="AE28" s="196">
        <f>SUM(AE3:AE27)</f>
        <v/>
      </c>
      <c r="AF28" s="196">
        <f>SUM(AF3:AF27)</f>
        <v/>
      </c>
      <c r="AG28" s="197">
        <f>SUM(AG3:AG27)</f>
        <v/>
      </c>
    </row>
    <row r="29">
      <c r="A29" s="14" t="inlineStr">
        <is>
          <t>포유인포텍</t>
        </is>
      </c>
      <c r="B29" s="198" t="n"/>
      <c r="C29" s="199" t="n"/>
      <c r="D29" s="199" t="n"/>
      <c r="E29" s="199" t="n"/>
      <c r="F29" s="199" t="n"/>
      <c r="G29" s="199" t="n"/>
      <c r="H29" s="199" t="n"/>
      <c r="I29" s="199" t="n"/>
      <c r="J29" s="199" t="n"/>
      <c r="K29" s="199" t="n"/>
      <c r="L29" s="199" t="n"/>
      <c r="M29" s="199" t="n"/>
      <c r="N29" s="199" t="n"/>
      <c r="O29" s="199" t="n"/>
      <c r="P29" s="199" t="n">
        <v>5500</v>
      </c>
      <c r="Q29" s="199" t="n"/>
      <c r="R29" s="199" t="n"/>
      <c r="S29" s="199" t="n"/>
      <c r="T29" s="199" t="n"/>
      <c r="U29" s="199" t="n"/>
      <c r="V29" s="199" t="n"/>
      <c r="W29" s="199" t="n"/>
      <c r="X29" s="199" t="n"/>
      <c r="Y29" s="199" t="n"/>
      <c r="Z29" s="199" t="n"/>
      <c r="AA29" s="199" t="n"/>
      <c r="AB29" s="199" t="n"/>
      <c r="AC29" s="199" t="n"/>
      <c r="AD29" s="199" t="n"/>
      <c r="AE29" s="200" t="n"/>
      <c r="AF29" s="200" t="n"/>
      <c r="AG29" s="201">
        <f>SUM(B29:AF29)</f>
        <v/>
      </c>
    </row>
    <row r="30">
      <c r="A30" s="9" t="inlineStr">
        <is>
          <t>서울특징</t>
        </is>
      </c>
      <c r="B30" s="144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5" t="n"/>
      <c r="U30" s="145" t="n"/>
      <c r="V30" s="145" t="n"/>
      <c r="W30" s="145" t="n"/>
      <c r="X30" s="145" t="n"/>
      <c r="Y30" s="145" t="n"/>
      <c r="Z30" s="145" t="n"/>
      <c r="AA30" s="145" t="n"/>
      <c r="AB30" s="145" t="n"/>
      <c r="AC30" s="145" t="n"/>
      <c r="AD30" s="145" t="n"/>
      <c r="AE30" s="146" t="n"/>
      <c r="AF30" s="146" t="n"/>
      <c r="AG30" s="202">
        <f>SUM(B30:AF30)</f>
        <v/>
      </c>
    </row>
    <row r="31">
      <c r="A31" s="9" t="inlineStr">
        <is>
          <t>국민건강보험</t>
        </is>
      </c>
      <c r="B31" s="144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145" t="n">
        <v>74380</v>
      </c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  <c r="AA31" s="145" t="n"/>
      <c r="AB31" s="145" t="n">
        <v>619650</v>
      </c>
      <c r="AC31" s="145" t="n"/>
      <c r="AD31" s="145" t="n"/>
      <c r="AE31" s="146" t="n"/>
      <c r="AF31" s="146" t="n"/>
      <c r="AG31" s="202">
        <f>SUM(B31:AF31)</f>
        <v/>
      </c>
    </row>
    <row r="32">
      <c r="A32" s="9" t="inlineStr">
        <is>
          <t>국민연금</t>
        </is>
      </c>
      <c r="B32" s="144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5" t="n">
        <v>43200</v>
      </c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  <c r="AA32" s="145" t="n"/>
      <c r="AB32" s="145" t="n"/>
      <c r="AC32" s="145" t="n"/>
      <c r="AD32" s="145" t="n"/>
      <c r="AE32" s="146" t="n"/>
      <c r="AF32" s="146" t="n"/>
      <c r="AG32" s="202">
        <f>SUM(B32:AF32)</f>
        <v/>
      </c>
    </row>
    <row r="33">
      <c r="A33" s="9" t="inlineStr">
        <is>
          <t>고용보험</t>
        </is>
      </c>
      <c r="B33" s="144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/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6" t="n"/>
      <c r="AF33" s="146" t="n"/>
      <c r="AG33" s="202">
        <f>SUM(B33:AF33)</f>
        <v/>
      </c>
    </row>
    <row r="34">
      <c r="A34" s="9" t="inlineStr">
        <is>
          <t>산재보험</t>
        </is>
      </c>
      <c r="B34" s="144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>
        <v>4350</v>
      </c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145" t="n"/>
      <c r="AE34" s="146" t="n"/>
      <c r="AF34" s="146" t="n"/>
      <c r="AG34" s="202">
        <f>SUM(B34:AF34)</f>
        <v/>
      </c>
    </row>
    <row r="35">
      <c r="A35" s="9" t="inlineStr">
        <is>
          <t>SK인텔릭스</t>
        </is>
      </c>
      <c r="B35" s="144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/>
      <c r="L35" s="145" t="n"/>
      <c r="M35" s="145" t="n"/>
      <c r="N35" s="145" t="n"/>
      <c r="O35" s="145" t="n">
        <v>25900</v>
      </c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6" t="n"/>
      <c r="AF35" s="146" t="n"/>
      <c r="AG35" s="202">
        <f>SUM(B35:AF35)</f>
        <v/>
      </c>
    </row>
    <row r="36">
      <c r="A36" s="9" t="inlineStr">
        <is>
          <t>S1(N5851892)</t>
        </is>
      </c>
      <c r="B36" s="144" t="n"/>
      <c r="C36" s="145" t="n"/>
      <c r="D36" s="145" t="n"/>
      <c r="E36" s="145" t="n"/>
      <c r="F36" s="145" t="n"/>
      <c r="G36" s="145" t="n"/>
      <c r="H36" s="145" t="n"/>
      <c r="I36" s="145" t="n"/>
      <c r="J36" s="145" t="n"/>
      <c r="K36" s="145" t="n">
        <v>44000</v>
      </c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6" t="n"/>
      <c r="AF36" s="146" t="n"/>
      <c r="AG36" s="202">
        <f>SUM(B36:AF36)</f>
        <v/>
      </c>
    </row>
    <row r="37">
      <c r="A37" s="9" t="inlineStr">
        <is>
          <t>한화손해보험</t>
        </is>
      </c>
      <c r="B37" s="144" t="n"/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5" t="n">
        <v>30000</v>
      </c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6" t="n"/>
      <c r="AF37" s="146" t="n"/>
      <c r="AG37" s="202">
        <f>SUM(B37:AF37)</f>
        <v/>
      </c>
    </row>
    <row r="38">
      <c r="A38" s="9" t="inlineStr">
        <is>
          <t>메리츠화재</t>
        </is>
      </c>
      <c r="B38" s="144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5" t="n">
        <v>46190</v>
      </c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6" t="n"/>
      <c r="AF38" s="146" t="n"/>
      <c r="AG38" s="202">
        <f>SUM(B38:AF38)</f>
        <v/>
      </c>
    </row>
    <row r="39">
      <c r="A39" s="9" t="inlineStr">
        <is>
          <t>KT통신요금</t>
        </is>
      </c>
      <c r="B39" s="144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>
        <v>22870</v>
      </c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6" t="n"/>
      <c r="AF39" s="146" t="n"/>
      <c r="AG39" s="202">
        <f>SUM(B39:AF39)</f>
        <v/>
      </c>
    </row>
    <row r="40" ht="17.5" customHeight="1" thickBot="1">
      <c r="A40" s="9" t="inlineStr">
        <is>
          <t>CM보험</t>
        </is>
      </c>
      <c r="B40" s="144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/>
      <c r="AB40" s="145" t="n">
        <v>290500</v>
      </c>
      <c r="AC40" s="145" t="n"/>
      <c r="AD40" s="145" t="n"/>
      <c r="AE40" s="146" t="n"/>
      <c r="AF40" s="146" t="n"/>
      <c r="AG40" s="203">
        <f>SUM(B40:AF40)</f>
        <v/>
      </c>
    </row>
    <row r="41" ht="30" customHeight="1" thickBot="1">
      <c r="A41" s="26" t="n"/>
      <c r="B41" s="204">
        <f>SUM(B29:B40)</f>
        <v/>
      </c>
      <c r="C41" s="204">
        <f>SUM(C29:C40)</f>
        <v/>
      </c>
      <c r="D41" s="204">
        <f>SUM(D29:D40)</f>
        <v/>
      </c>
      <c r="E41" s="204">
        <f>SUM(E29:E40)</f>
        <v/>
      </c>
      <c r="F41" s="204">
        <f>SUM(F29:F40)</f>
        <v/>
      </c>
      <c r="G41" s="204">
        <f>SUM(G29:G40)</f>
        <v/>
      </c>
      <c r="H41" s="204">
        <f>SUM(H29:H40)</f>
        <v/>
      </c>
      <c r="I41" s="204">
        <f>SUM(I29:I40)</f>
        <v/>
      </c>
      <c r="J41" s="204">
        <f>SUM(J29:J40)</f>
        <v/>
      </c>
      <c r="K41" s="204">
        <f>SUM(K29:K40)</f>
        <v/>
      </c>
      <c r="L41" s="204">
        <f>SUM(L29:L40)</f>
        <v/>
      </c>
      <c r="M41" s="204">
        <f>SUM(M29:M40)</f>
        <v/>
      </c>
      <c r="N41" s="204">
        <f>SUM(N29:N40)</f>
        <v/>
      </c>
      <c r="O41" s="204">
        <f>SUM(O29:O40)</f>
        <v/>
      </c>
      <c r="P41" s="204">
        <f>SUM(P29:P40)</f>
        <v/>
      </c>
      <c r="Q41" s="204">
        <f>SUM(Q29:Q40)</f>
        <v/>
      </c>
      <c r="R41" s="204">
        <f>SUM(R29:R40)</f>
        <v/>
      </c>
      <c r="S41" s="204">
        <f>SUM(S29:S40)</f>
        <v/>
      </c>
      <c r="T41" s="204">
        <f>SUM(T29:T40)</f>
        <v/>
      </c>
      <c r="U41" s="204">
        <f>SUM(U29:U40)</f>
        <v/>
      </c>
      <c r="V41" s="204">
        <f>SUM(V29:V40)</f>
        <v/>
      </c>
      <c r="W41" s="204">
        <f>SUM(W29:W40)</f>
        <v/>
      </c>
      <c r="X41" s="204">
        <f>SUM(X29:X40)</f>
        <v/>
      </c>
      <c r="Y41" s="204">
        <f>SUM(Y29:Y40)</f>
        <v/>
      </c>
      <c r="Z41" s="204">
        <f>SUM(Z29:Z40)</f>
        <v/>
      </c>
      <c r="AA41" s="204">
        <f>SUM(AA29:AA40)</f>
        <v/>
      </c>
      <c r="AB41" s="204">
        <f>SUM(AB29:AB40)</f>
        <v/>
      </c>
      <c r="AC41" s="204">
        <f>SUM(AC29:AC40)</f>
        <v/>
      </c>
      <c r="AD41" s="204">
        <f>SUM(AD29:AD40)</f>
        <v/>
      </c>
      <c r="AE41" s="204">
        <f>SUM(AE29:AE40)</f>
        <v/>
      </c>
      <c r="AF41" s="204">
        <f>SUM(AF29:AF40)</f>
        <v/>
      </c>
      <c r="AG41" s="205">
        <f>SUM(AG29:AG40)</f>
        <v/>
      </c>
    </row>
    <row r="42">
      <c r="A42" s="9" t="inlineStr">
        <is>
          <t>영존임대료</t>
        </is>
      </c>
      <c r="B42" s="144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  <c r="AA42" s="145" t="n"/>
      <c r="AB42" s="145" t="n"/>
      <c r="AC42" s="145" t="n"/>
      <c r="AD42" s="145" t="n"/>
      <c r="AE42" s="146" t="n"/>
      <c r="AF42" s="146" t="n">
        <v>4763000</v>
      </c>
      <c r="AG42" s="206">
        <f>SUM(B42:AF42)</f>
        <v/>
      </c>
    </row>
    <row r="43">
      <c r="A43" s="9" t="inlineStr">
        <is>
          <t>영존관리비</t>
        </is>
      </c>
      <c r="B43" s="144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  <c r="AA43" s="145" t="n"/>
      <c r="AB43" s="145" t="n"/>
      <c r="AC43" s="145" t="n"/>
      <c r="AD43" s="145" t="n"/>
      <c r="AE43" s="146" t="n"/>
      <c r="AF43" s="146" t="n">
        <v>1232180</v>
      </c>
      <c r="AG43" s="202">
        <f>SUM(B43:AF43)</f>
        <v/>
      </c>
    </row>
    <row r="44" ht="29.5" customHeight="1" thickBot="1">
      <c r="A44" s="24" t="n"/>
      <c r="B44" s="207">
        <f>SUM(B42:B43)</f>
        <v/>
      </c>
      <c r="C44" s="207">
        <f>SUM(C42:C43)</f>
        <v/>
      </c>
      <c r="D44" s="207">
        <f>SUM(D42:D43)</f>
        <v/>
      </c>
      <c r="E44" s="207">
        <f>SUM(E42:E43)</f>
        <v/>
      </c>
      <c r="F44" s="207">
        <f>SUM(F42:F43)</f>
        <v/>
      </c>
      <c r="G44" s="207">
        <f>SUM(G42:G43)</f>
        <v/>
      </c>
      <c r="H44" s="207">
        <f>SUM(H42:H43)</f>
        <v/>
      </c>
      <c r="I44" s="207">
        <f>SUM(I42:I43)</f>
        <v/>
      </c>
      <c r="J44" s="207">
        <f>SUM(J42:J43)</f>
        <v/>
      </c>
      <c r="K44" s="207">
        <f>SUM(K42:K43)</f>
        <v/>
      </c>
      <c r="L44" s="207">
        <f>SUM(L42:L43)</f>
        <v/>
      </c>
      <c r="M44" s="207">
        <f>SUM(M42:M43)</f>
        <v/>
      </c>
      <c r="N44" s="207">
        <f>SUM(N42:N43)</f>
        <v/>
      </c>
      <c r="O44" s="207">
        <f>SUM(O42:O43)</f>
        <v/>
      </c>
      <c r="P44" s="207">
        <f>SUM(P42:P43)</f>
        <v/>
      </c>
      <c r="Q44" s="207">
        <f>SUM(Q42:Q43)</f>
        <v/>
      </c>
      <c r="R44" s="207">
        <f>SUM(R42:R43)</f>
        <v/>
      </c>
      <c r="S44" s="207">
        <f>SUM(S42:S43)</f>
        <v/>
      </c>
      <c r="T44" s="207">
        <f>SUM(T42:T43)</f>
        <v/>
      </c>
      <c r="U44" s="207">
        <f>SUM(U42:U43)</f>
        <v/>
      </c>
      <c r="V44" s="207">
        <f>SUM(V42:V43)</f>
        <v/>
      </c>
      <c r="W44" s="207">
        <f>SUM(W42:W43)</f>
        <v/>
      </c>
      <c r="X44" s="207">
        <f>SUM(X42:X43)</f>
        <v/>
      </c>
      <c r="Y44" s="207">
        <f>SUM(Y42:Y43)</f>
        <v/>
      </c>
      <c r="Z44" s="207">
        <f>SUM(Z42:Z43)</f>
        <v/>
      </c>
      <c r="AA44" s="207">
        <f>SUM(AA42:AA43)</f>
        <v/>
      </c>
      <c r="AB44" s="207">
        <f>SUM(AB42:AB43)</f>
        <v/>
      </c>
      <c r="AC44" s="207">
        <f>SUM(AC42:AC43)</f>
        <v/>
      </c>
      <c r="AD44" s="207">
        <f>SUM(AD42:AD43)</f>
        <v/>
      </c>
      <c r="AE44" s="207" t="n"/>
      <c r="AF44" s="207">
        <f>SUM(AF42:AF43)</f>
        <v/>
      </c>
      <c r="AG44" s="208">
        <f>SUM(AG42:AG43)</f>
        <v/>
      </c>
    </row>
  </sheetData>
  <mergeCells count="1">
    <mergeCell ref="A1:A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4"/>
  <sheetViews>
    <sheetView topLeftCell="A2" zoomScaleNormal="100" workbookViewId="0">
      <pane ySplit="1" topLeftCell="A18" activePane="bottomLeft" state="frozen"/>
      <selection activeCell="A2" sqref="A2"/>
      <selection pane="bottomLeft" activeCell="AC19" sqref="AC19"/>
    </sheetView>
  </sheetViews>
  <sheetFormatPr baseColWidth="8" defaultRowHeight="17"/>
  <cols>
    <col width="21.9140625" customWidth="1" style="2" min="1" max="1"/>
    <col width="12.25" customWidth="1" style="124" min="2" max="10"/>
    <col width="13.58203125" customWidth="1" style="124" min="11" max="11"/>
    <col width="12.25" customWidth="1" style="124" min="12" max="30"/>
    <col width="13.83203125" customWidth="1" style="124" min="31" max="31"/>
    <col width="14.4140625" customWidth="1" style="124" min="32" max="32"/>
    <col width="14.4140625" customWidth="1" style="2" min="33" max="33"/>
    <col width="8.6640625" customWidth="1" style="2" min="34" max="16384"/>
  </cols>
  <sheetData>
    <row r="1" hidden="1" ht="38" customHeight="1" thickBot="1">
      <c r="A1" s="121" t="inlineStr">
        <is>
          <t>일별 거래내역서 (2025.9월)</t>
        </is>
      </c>
    </row>
    <row r="2" ht="24" customHeight="1">
      <c r="A2" s="8" t="n"/>
      <c r="B2" s="190" t="n">
        <v>1</v>
      </c>
      <c r="C2" s="191" t="n">
        <v>2</v>
      </c>
      <c r="D2" s="191" t="n">
        <v>3</v>
      </c>
      <c r="E2" s="191" t="n">
        <v>4</v>
      </c>
      <c r="F2" s="191" t="n">
        <v>5</v>
      </c>
      <c r="G2" s="191" t="n">
        <v>6</v>
      </c>
      <c r="H2" s="191" t="n">
        <v>7</v>
      </c>
      <c r="I2" s="191" t="n">
        <v>8</v>
      </c>
      <c r="J2" s="191" t="n">
        <v>9</v>
      </c>
      <c r="K2" s="191" t="n">
        <v>10</v>
      </c>
      <c r="L2" s="191" t="n">
        <v>11</v>
      </c>
      <c r="M2" s="191" t="n">
        <v>12</v>
      </c>
      <c r="N2" s="191" t="n">
        <v>13</v>
      </c>
      <c r="O2" s="191" t="n">
        <v>14</v>
      </c>
      <c r="P2" s="191" t="n">
        <v>15</v>
      </c>
      <c r="Q2" s="191" t="n">
        <v>16</v>
      </c>
      <c r="R2" s="191" t="n">
        <v>17</v>
      </c>
      <c r="S2" s="191" t="n">
        <v>18</v>
      </c>
      <c r="T2" s="191" t="n">
        <v>19</v>
      </c>
      <c r="U2" s="191" t="n">
        <v>20</v>
      </c>
      <c r="V2" s="191" t="n">
        <v>21</v>
      </c>
      <c r="W2" s="191" t="n">
        <v>22</v>
      </c>
      <c r="X2" s="191" t="n">
        <v>23</v>
      </c>
      <c r="Y2" s="191" t="n">
        <v>24</v>
      </c>
      <c r="Z2" s="191" t="n">
        <v>25</v>
      </c>
      <c r="AA2" s="191" t="n">
        <v>26</v>
      </c>
      <c r="AB2" s="191" t="n">
        <v>27</v>
      </c>
      <c r="AC2" s="191" t="n">
        <v>28</v>
      </c>
      <c r="AD2" s="191" t="n">
        <v>29</v>
      </c>
      <c r="AE2" s="192" t="n">
        <v>30</v>
      </c>
      <c r="AF2" s="192" t="n">
        <v>31</v>
      </c>
      <c r="AG2" s="19" t="n"/>
    </row>
    <row r="3">
      <c r="A3" s="9" t="inlineStr">
        <is>
          <t>고구마켓(은제민)</t>
        </is>
      </c>
      <c r="B3" s="144" t="n"/>
      <c r="C3" s="145" t="n"/>
      <c r="D3" s="145" t="n"/>
      <c r="E3" s="145" t="n">
        <v>240000</v>
      </c>
      <c r="F3" s="145" t="n"/>
      <c r="G3" s="145" t="n">
        <v>60000</v>
      </c>
      <c r="H3" s="145" t="n"/>
      <c r="I3" s="145" t="n"/>
      <c r="J3" s="145" t="n"/>
      <c r="K3" s="145" t="n"/>
      <c r="L3" s="145" t="n">
        <v>247000</v>
      </c>
      <c r="M3" s="145" t="n">
        <v>360000</v>
      </c>
      <c r="N3" s="145" t="n"/>
      <c r="O3" s="145" t="n"/>
      <c r="P3" s="145" t="n"/>
      <c r="Q3" s="145" t="n"/>
      <c r="R3" s="145" t="n"/>
      <c r="S3" s="145" t="n">
        <v>180000</v>
      </c>
      <c r="T3" s="145" t="n">
        <v>360000</v>
      </c>
      <c r="U3" s="145" t="n"/>
      <c r="V3" s="145" t="n"/>
      <c r="W3" s="145" t="n"/>
      <c r="X3" s="145" t="n"/>
      <c r="Y3" s="145" t="n">
        <v>240000</v>
      </c>
      <c r="Z3" s="145" t="n"/>
      <c r="AA3" s="145" t="n">
        <v>360000</v>
      </c>
      <c r="AB3" s="145" t="n"/>
      <c r="AC3" s="145" t="n"/>
      <c r="AD3" s="145" t="n"/>
      <c r="AE3" s="146" t="n"/>
      <c r="AF3" s="146" t="n"/>
      <c r="AG3" s="193">
        <f>SUM(B3:AF3)</f>
        <v/>
      </c>
    </row>
    <row r="4">
      <c r="A4" s="9" t="inlineStr">
        <is>
          <t>찬들농산(김영민)</t>
        </is>
      </c>
      <c r="B4" s="144" t="n"/>
      <c r="C4" s="145" t="n"/>
      <c r="D4" s="145" t="n"/>
      <c r="E4" s="145" t="n"/>
      <c r="F4" s="145" t="n">
        <v>161500</v>
      </c>
      <c r="G4" s="145" t="n">
        <v>64000</v>
      </c>
      <c r="H4" s="145" t="n"/>
      <c r="I4" s="145" t="n"/>
      <c r="J4" s="145" t="n"/>
      <c r="K4" s="145" t="n">
        <v>137000</v>
      </c>
      <c r="L4" s="145" t="n">
        <v>78000</v>
      </c>
      <c r="M4" s="145" t="n">
        <v>22000</v>
      </c>
      <c r="N4" s="145" t="n">
        <v>28000</v>
      </c>
      <c r="O4" s="145" t="n">
        <v>110000</v>
      </c>
      <c r="P4" s="145" t="n"/>
      <c r="Q4" s="145" t="n"/>
      <c r="R4" s="145" t="n">
        <v>42000</v>
      </c>
      <c r="S4" s="145" t="n">
        <v>75000</v>
      </c>
      <c r="T4" s="145" t="n"/>
      <c r="U4" s="145" t="n">
        <v>50700</v>
      </c>
      <c r="V4" s="145" t="n">
        <v>112000</v>
      </c>
      <c r="W4" s="145" t="n"/>
      <c r="X4" s="145" t="n"/>
      <c r="Y4" s="145" t="n">
        <v>53000</v>
      </c>
      <c r="Z4" s="145" t="n">
        <v>33000</v>
      </c>
      <c r="AA4" s="145" t="n">
        <v>61400</v>
      </c>
      <c r="AB4" s="145" t="n">
        <v>40000</v>
      </c>
      <c r="AC4" s="145" t="n">
        <v>129000</v>
      </c>
      <c r="AD4" s="145" t="n"/>
      <c r="AE4" s="146" t="n"/>
      <c r="AF4" s="146" t="n"/>
      <c r="AG4" s="193">
        <f>SUM(B4:AF4)</f>
        <v/>
      </c>
    </row>
    <row r="5">
      <c r="A5" s="9" t="inlineStr">
        <is>
          <t>홍성상회(최희상)</t>
        </is>
      </c>
      <c r="B5" s="144" t="n"/>
      <c r="C5" s="145" t="n"/>
      <c r="D5" s="145" t="n"/>
      <c r="E5" s="145" t="n"/>
      <c r="F5" s="145" t="n"/>
      <c r="G5" s="145" t="n">
        <v>64000</v>
      </c>
      <c r="H5" s="145" t="n"/>
      <c r="I5" s="145" t="n"/>
      <c r="J5" s="145" t="n"/>
      <c r="K5" s="145" t="n">
        <v>64000</v>
      </c>
      <c r="L5" s="145" t="n"/>
      <c r="M5" s="145" t="n"/>
      <c r="N5" s="145" t="n">
        <v>64000</v>
      </c>
      <c r="O5" s="145" t="n"/>
      <c r="P5" s="145" t="n"/>
      <c r="Q5" s="145" t="n"/>
      <c r="R5" s="145" t="n">
        <v>64000</v>
      </c>
      <c r="S5" s="145" t="n"/>
      <c r="T5" s="145" t="n"/>
      <c r="U5" s="145" t="n">
        <v>32000</v>
      </c>
      <c r="V5" s="145" t="n"/>
      <c r="W5" s="145" t="n"/>
      <c r="X5" s="145" t="n"/>
      <c r="Y5" s="145" t="n">
        <v>64000</v>
      </c>
      <c r="Z5" s="145" t="n"/>
      <c r="AA5" s="145" t="n">
        <v>64000</v>
      </c>
      <c r="AB5" s="145" t="n"/>
      <c r="AC5" s="145" t="n"/>
      <c r="AD5" s="145" t="n"/>
      <c r="AE5" s="146" t="n"/>
      <c r="AF5" s="146" t="n"/>
      <c r="AG5" s="193">
        <f>SUM(B5:AF5)</f>
        <v/>
      </c>
    </row>
    <row r="6">
      <c r="A6" s="9" t="inlineStr">
        <is>
          <t>조양마트</t>
        </is>
      </c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6" t="n"/>
      <c r="AF6" s="146" t="n"/>
      <c r="AG6" s="193">
        <f>SUM(B6:AF6)</f>
        <v/>
      </c>
    </row>
    <row r="7">
      <c r="A7" s="9" t="inlineStr">
        <is>
          <t>㈜용담유통</t>
        </is>
      </c>
      <c r="B7" s="144" t="n"/>
      <c r="C7" s="145" t="n"/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/>
      <c r="U7" s="145" t="n"/>
      <c r="V7" s="145" t="n"/>
      <c r="W7" s="145" t="n"/>
      <c r="X7" s="145" t="n"/>
      <c r="Y7" s="145" t="n"/>
      <c r="Z7" s="145" t="n"/>
      <c r="AA7" s="145" t="n"/>
      <c r="AB7" s="145" t="n"/>
      <c r="AC7" s="145" t="n"/>
      <c r="AD7" s="145" t="n"/>
      <c r="AE7" s="146" t="n"/>
      <c r="AF7" s="146" t="n"/>
      <c r="AG7" s="193">
        <f>SUM(B7:AF7)</f>
        <v/>
      </c>
    </row>
    <row r="8">
      <c r="A8" s="9" t="inlineStr">
        <is>
          <t>㈜에코두레</t>
        </is>
      </c>
      <c r="B8" s="144" t="n"/>
      <c r="C8" s="145" t="n"/>
      <c r="D8" s="145" t="n"/>
      <c r="E8" s="145" t="n"/>
      <c r="F8" s="145" t="n"/>
      <c r="G8" s="145" t="n"/>
      <c r="H8" s="145" t="n">
        <v>123750</v>
      </c>
      <c r="I8" s="145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6" t="n"/>
      <c r="AF8" s="146" t="n"/>
      <c r="AG8" s="193">
        <f>SUM(B8:AF8)</f>
        <v/>
      </c>
    </row>
    <row r="9">
      <c r="A9" s="9" t="inlineStr">
        <is>
          <t>코스트코</t>
        </is>
      </c>
      <c r="B9" s="144" t="n"/>
      <c r="C9" s="145" t="n"/>
      <c r="D9" s="145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6" t="n"/>
      <c r="AF9" s="146" t="n"/>
      <c r="AG9" s="193">
        <f>SUM(B9:AF9)</f>
        <v/>
      </c>
    </row>
    <row r="10">
      <c r="A10" s="9" t="inlineStr">
        <is>
          <t>트레이더스</t>
        </is>
      </c>
      <c r="B10" s="144" t="n"/>
      <c r="C10" s="145" t="n"/>
      <c r="D10" s="145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6" t="n"/>
      <c r="AF10" s="146" t="n"/>
      <c r="AG10" s="193">
        <f>SUM(B10:AF10)</f>
        <v/>
      </c>
    </row>
    <row r="11">
      <c r="A11" s="9" t="inlineStr">
        <is>
          <t>이마트</t>
        </is>
      </c>
      <c r="B11" s="144" t="n"/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6" t="n"/>
      <c r="AF11" s="146" t="n"/>
      <c r="AG11" s="193">
        <f>SUM(B11:AF11)</f>
        <v/>
      </c>
    </row>
    <row r="12">
      <c r="A12" s="9" t="inlineStr">
        <is>
          <t>상대유통㈜</t>
        </is>
      </c>
      <c r="B12" s="144" t="n"/>
      <c r="C12" s="145" t="n"/>
      <c r="D12" s="145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  <c r="AA12" s="145" t="n"/>
      <c r="AB12" s="145" t="n"/>
      <c r="AC12" s="145" t="n"/>
      <c r="AD12" s="145" t="n"/>
      <c r="AE12" s="146" t="n"/>
      <c r="AF12" s="146" t="n"/>
      <c r="AG12" s="193">
        <f>SUM(B12:AF12)</f>
        <v/>
      </c>
    </row>
    <row r="13">
      <c r="A13" s="9" t="inlineStr">
        <is>
          <t>다농마트</t>
        </is>
      </c>
      <c r="B13" s="144" t="n"/>
      <c r="C13" s="145" t="n"/>
      <c r="D13" s="145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  <c r="AA13" s="145" t="n"/>
      <c r="AB13" s="145" t="n"/>
      <c r="AC13" s="145" t="n"/>
      <c r="AD13" s="145" t="n"/>
      <c r="AE13" s="146" t="n"/>
      <c r="AF13" s="146" t="n"/>
      <c r="AG13" s="193">
        <f>SUM(B13:AF13)</f>
        <v/>
      </c>
    </row>
    <row r="14">
      <c r="A14" s="9" t="inlineStr">
        <is>
          <t>(주)유창</t>
        </is>
      </c>
      <c r="B14" s="144" t="n"/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  <c r="AA14" s="145" t="n"/>
      <c r="AB14" s="145" t="n"/>
      <c r="AC14" s="145" t="n"/>
      <c r="AD14" s="145" t="n"/>
      <c r="AE14" s="146" t="n"/>
      <c r="AF14" s="146" t="n"/>
      <c r="AG14" s="193">
        <f>SUM(B14:AF14)</f>
        <v/>
      </c>
    </row>
    <row r="15">
      <c r="A15" s="9" t="inlineStr">
        <is>
          <t>대한유통</t>
        </is>
      </c>
      <c r="B15" s="144" t="n"/>
      <c r="C15" s="145" t="n"/>
      <c r="D15" s="145" t="n">
        <v>296600</v>
      </c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  <c r="AA15" s="145" t="n"/>
      <c r="AB15" s="145" t="n"/>
      <c r="AC15" s="145" t="n"/>
      <c r="AD15" s="145" t="n"/>
      <c r="AE15" s="146" t="n"/>
      <c r="AF15" s="146" t="n"/>
      <c r="AG15" s="193">
        <f>SUM(B15:AF15)</f>
        <v/>
      </c>
    </row>
    <row r="16">
      <c r="A16" s="9" t="inlineStr">
        <is>
          <t>재우상회</t>
        </is>
      </c>
      <c r="B16" s="144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  <c r="AA16" s="145" t="n"/>
      <c r="AB16" s="145" t="n"/>
      <c r="AC16" s="145" t="n"/>
      <c r="AD16" s="145" t="n"/>
      <c r="AE16" s="146" t="n"/>
      <c r="AF16" s="146" t="n"/>
      <c r="AG16" s="193">
        <f>SUM(B16:AF16)</f>
        <v/>
      </c>
    </row>
    <row r="17">
      <c r="A17" s="9" t="inlineStr">
        <is>
          <t>㈜에스에프앤비</t>
        </is>
      </c>
      <c r="B17" s="144" t="n"/>
      <c r="C17" s="145" t="n"/>
      <c r="D17" s="145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6" t="n"/>
      <c r="AF17" s="146" t="n"/>
      <c r="AG17" s="193">
        <f>SUM(B17:AF17)</f>
        <v/>
      </c>
    </row>
    <row r="18">
      <c r="A18" s="9" t="inlineStr">
        <is>
          <t>용산식품</t>
        </is>
      </c>
      <c r="B18" s="144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6" t="n"/>
      <c r="AF18" s="146" t="n"/>
      <c r="AG18" s="193">
        <f>SUM(B18:AF18)</f>
        <v/>
      </c>
    </row>
    <row r="19">
      <c r="A19" s="9" t="inlineStr">
        <is>
          <t>쿠팡</t>
        </is>
      </c>
      <c r="B19" s="144" t="n">
        <v>116150</v>
      </c>
      <c r="C19" s="145" t="n"/>
      <c r="D19" s="145" t="n">
        <v>73000</v>
      </c>
      <c r="E19" s="145" t="n"/>
      <c r="F19" s="145" t="n">
        <v>200240</v>
      </c>
      <c r="G19" s="145" t="n">
        <v>36511</v>
      </c>
      <c r="H19" s="145" t="n">
        <v>7890</v>
      </c>
      <c r="I19" s="145" t="n">
        <v>6500</v>
      </c>
      <c r="J19" s="145" t="n"/>
      <c r="K19" s="145" t="n"/>
      <c r="L19" s="145" t="n">
        <v>43650</v>
      </c>
      <c r="M19" s="145" t="n"/>
      <c r="N19" s="145" t="n">
        <v>18900</v>
      </c>
      <c r="O19" s="145" t="n"/>
      <c r="P19" s="145" t="n"/>
      <c r="Q19" s="145" t="n"/>
      <c r="R19" s="145" t="n"/>
      <c r="S19" s="145" t="n"/>
      <c r="T19" s="145" t="n">
        <v>22500</v>
      </c>
      <c r="U19" s="145" t="n"/>
      <c r="V19" s="145" t="n">
        <v>59900</v>
      </c>
      <c r="W19" s="145" t="n">
        <v>104900</v>
      </c>
      <c r="X19" s="145" t="n"/>
      <c r="Y19" s="145" t="n"/>
      <c r="Z19" s="145" t="n"/>
      <c r="AA19" s="145" t="n">
        <v>118700</v>
      </c>
      <c r="AB19" s="145" t="n">
        <v>28701</v>
      </c>
      <c r="AC19" s="145" t="n"/>
      <c r="AD19" s="145" t="n">
        <v>100000</v>
      </c>
      <c r="AE19" s="146" t="n"/>
      <c r="AF19" s="146" t="n"/>
      <c r="AG19" s="193">
        <f>SUM(B19:AF19)</f>
        <v/>
      </c>
    </row>
    <row r="20">
      <c r="A20" s="9" t="inlineStr">
        <is>
          <t>배민상회</t>
        </is>
      </c>
      <c r="B20" s="144" t="n"/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6" t="n"/>
      <c r="AF20" s="146" t="n"/>
      <c r="AG20" s="193">
        <f>SUM(B20:AF20)</f>
        <v/>
      </c>
    </row>
    <row r="21">
      <c r="A21" s="9" t="inlineStr">
        <is>
          <t>다인푸드닷컴</t>
        </is>
      </c>
      <c r="B21" s="144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  <c r="AA21" s="145" t="n"/>
      <c r="AB21" s="145" t="n"/>
      <c r="AC21" s="145" t="n"/>
      <c r="AD21" s="145" t="n"/>
      <c r="AE21" s="146" t="n"/>
      <c r="AF21" s="146" t="n"/>
      <c r="AG21" s="193">
        <f>SUM(B21:AF21)</f>
        <v/>
      </c>
    </row>
    <row r="22">
      <c r="A22" s="9" t="inlineStr">
        <is>
          <t>㈜한주주방아웃렛</t>
        </is>
      </c>
      <c r="B22" s="144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6" t="n"/>
      <c r="AF22" s="146" t="n"/>
      <c r="AG22" s="193">
        <f>SUM(B22:AF22)</f>
        <v/>
      </c>
    </row>
    <row r="23">
      <c r="A23" s="9" t="inlineStr">
        <is>
          <t>㈜신진상사</t>
        </is>
      </c>
      <c r="B23" s="144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  <c r="AA23" s="145" t="n"/>
      <c r="AB23" s="145" t="n"/>
      <c r="AC23" s="145" t="n"/>
      <c r="AD23" s="145" t="n"/>
      <c r="AE23" s="146" t="n"/>
      <c r="AF23" s="146" t="n"/>
      <c r="AG23" s="193">
        <f>SUM(B23:AF23)</f>
        <v/>
      </c>
    </row>
    <row r="24">
      <c r="A24" s="9" t="inlineStr">
        <is>
          <t>창미포장기계(유용운)</t>
        </is>
      </c>
      <c r="B24" s="144" t="n"/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6" t="n"/>
      <c r="AF24" s="146" t="n"/>
      <c r="AG24" s="193">
        <f>SUM(B24:AF24)</f>
        <v/>
      </c>
    </row>
    <row r="25">
      <c r="A25" s="9" t="inlineStr">
        <is>
          <t>에너지삼천</t>
        </is>
      </c>
      <c r="B25" s="144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/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  <c r="AA25" s="145" t="n"/>
      <c r="AB25" s="145" t="n"/>
      <c r="AC25" s="145" t="n"/>
      <c r="AD25" s="145" t="n"/>
      <c r="AE25" s="146" t="n"/>
      <c r="AF25" s="146" t="n"/>
      <c r="AG25" s="193">
        <f>SUM(B25:AF25)</f>
        <v/>
      </c>
    </row>
    <row r="26">
      <c r="A26" s="9" t="inlineStr">
        <is>
          <t>새로피엔엘</t>
        </is>
      </c>
      <c r="B26" s="144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6" t="n"/>
      <c r="AF26" s="146" t="n"/>
      <c r="AG26" s="193">
        <f>SUM(B26:AF26)</f>
        <v/>
      </c>
    </row>
    <row r="27" ht="17.5" customHeight="1" thickBot="1">
      <c r="A27" s="9" t="inlineStr">
        <is>
          <t>태영유통</t>
        </is>
      </c>
      <c r="B27" s="144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6" t="n"/>
      <c r="AF27" s="146" t="n"/>
      <c r="AG27" s="194">
        <f>SUM(B27:AF27)</f>
        <v/>
      </c>
    </row>
    <row r="28" ht="29" customHeight="1" thickBot="1">
      <c r="A28" s="10" t="n"/>
      <c r="B28" s="195">
        <f>SUM(B3:B27)</f>
        <v/>
      </c>
      <c r="C28" s="195">
        <f>SUM(C3:C27)</f>
        <v/>
      </c>
      <c r="D28" s="195">
        <f>SUM(D3:D27)</f>
        <v/>
      </c>
      <c r="E28" s="195">
        <f>SUM(E3:E27)</f>
        <v/>
      </c>
      <c r="F28" s="195">
        <f>SUM(F3:F27)</f>
        <v/>
      </c>
      <c r="G28" s="195">
        <f>SUM(G3:G27)</f>
        <v/>
      </c>
      <c r="H28" s="195">
        <f>SUM(H3:H27)</f>
        <v/>
      </c>
      <c r="I28" s="195">
        <f>SUM(I3:I27)</f>
        <v/>
      </c>
      <c r="J28" s="195">
        <f>SUM(J3:J27)</f>
        <v/>
      </c>
      <c r="K28" s="195">
        <f>SUM(K3:K27)</f>
        <v/>
      </c>
      <c r="L28" s="195">
        <f>SUM(L3:L27)</f>
        <v/>
      </c>
      <c r="M28" s="195">
        <f>SUM(M3:M27)</f>
        <v/>
      </c>
      <c r="N28" s="195">
        <f>SUM(N3:N27)</f>
        <v/>
      </c>
      <c r="O28" s="195">
        <f>SUM(O3:O27)</f>
        <v/>
      </c>
      <c r="P28" s="195">
        <f>SUM(P3:P27)</f>
        <v/>
      </c>
      <c r="Q28" s="195">
        <f>SUM(Q3:Q27)</f>
        <v/>
      </c>
      <c r="R28" s="195">
        <f>SUM(R3:R27)</f>
        <v/>
      </c>
      <c r="S28" s="195">
        <f>SUM(S3:S27)</f>
        <v/>
      </c>
      <c r="T28" s="195">
        <f>SUM(T3:T27)</f>
        <v/>
      </c>
      <c r="U28" s="195">
        <f>SUM(U3:U27)</f>
        <v/>
      </c>
      <c r="V28" s="195">
        <f>SUM(V3:V27)</f>
        <v/>
      </c>
      <c r="W28" s="195">
        <f>SUM(W3:W27)</f>
        <v/>
      </c>
      <c r="X28" s="195">
        <f>SUM(X3:X27)</f>
        <v/>
      </c>
      <c r="Y28" s="195">
        <f>SUM(Y3:Y27)</f>
        <v/>
      </c>
      <c r="Z28" s="195">
        <f>SUM(Z3:Z27)</f>
        <v/>
      </c>
      <c r="AA28" s="195">
        <f>SUM(AA3:AA27)</f>
        <v/>
      </c>
      <c r="AB28" s="195">
        <f>SUM(AB3:AB27)</f>
        <v/>
      </c>
      <c r="AC28" s="195">
        <f>SUM(AC3:AC27)</f>
        <v/>
      </c>
      <c r="AD28" s="195">
        <f>SUM(AD3:AD27)</f>
        <v/>
      </c>
      <c r="AE28" s="196">
        <f>SUM(AE3:AE27)</f>
        <v/>
      </c>
      <c r="AF28" s="196">
        <f>SUM(AF3:AF27)</f>
        <v/>
      </c>
      <c r="AG28" s="209">
        <f>SUM(AG3:AG27)</f>
        <v/>
      </c>
    </row>
    <row r="29">
      <c r="A29" s="14" t="inlineStr">
        <is>
          <t>포유인포텍</t>
        </is>
      </c>
      <c r="B29" s="198" t="n"/>
      <c r="C29" s="199" t="n"/>
      <c r="D29" s="199" t="n"/>
      <c r="E29" s="199" t="n"/>
      <c r="F29" s="199" t="n">
        <v>5500</v>
      </c>
      <c r="G29" s="199" t="n"/>
      <c r="H29" s="199" t="n"/>
      <c r="I29" s="199" t="n"/>
      <c r="J29" s="199" t="n"/>
      <c r="K29" s="199" t="n"/>
      <c r="L29" s="199" t="n"/>
      <c r="M29" s="199" t="n"/>
      <c r="N29" s="199" t="n"/>
      <c r="O29" s="199" t="n"/>
      <c r="P29" s="199" t="n"/>
      <c r="Q29" s="199" t="n"/>
      <c r="R29" s="199" t="n"/>
      <c r="S29" s="199" t="n"/>
      <c r="T29" s="199" t="n"/>
      <c r="U29" s="199" t="n"/>
      <c r="V29" s="199" t="n"/>
      <c r="W29" s="199" t="n"/>
      <c r="X29" s="199" t="n"/>
      <c r="Y29" s="199" t="n"/>
      <c r="Z29" s="199" t="n"/>
      <c r="AA29" s="199" t="n"/>
      <c r="AB29" s="199" t="n"/>
      <c r="AC29" s="199" t="n"/>
      <c r="AD29" s="199" t="n"/>
      <c r="AE29" s="200" t="n"/>
      <c r="AF29" s="200" t="n"/>
      <c r="AG29" s="201">
        <f>SUM(B29:AF29)</f>
        <v/>
      </c>
    </row>
    <row r="30">
      <c r="A30" s="9" t="inlineStr">
        <is>
          <t>서울특징</t>
        </is>
      </c>
      <c r="B30" s="144" t="n"/>
      <c r="C30" s="145" t="n"/>
      <c r="D30" s="145" t="n"/>
      <c r="E30" s="145" t="n"/>
      <c r="F30" s="145" t="n"/>
      <c r="G30" s="145" t="n"/>
      <c r="H30" s="145" t="n"/>
      <c r="I30" s="145" t="n"/>
      <c r="J30" s="145" t="n"/>
      <c r="K30" s="145" t="n"/>
      <c r="L30" s="145" t="n"/>
      <c r="M30" s="145" t="n"/>
      <c r="N30" s="145" t="n"/>
      <c r="O30" s="145" t="n"/>
      <c r="P30" s="145" t="n"/>
      <c r="Q30" s="145" t="n"/>
      <c r="R30" s="145" t="n"/>
      <c r="S30" s="145" t="n"/>
      <c r="T30" s="145" t="n"/>
      <c r="U30" s="145" t="n"/>
      <c r="V30" s="145" t="n"/>
      <c r="W30" s="145" t="n"/>
      <c r="X30" s="145" t="n"/>
      <c r="Y30" s="145" t="n"/>
      <c r="Z30" s="145" t="n"/>
      <c r="AA30" s="145" t="n"/>
      <c r="AB30" s="145" t="n"/>
      <c r="AC30" s="145" t="n"/>
      <c r="AD30" s="145" t="n"/>
      <c r="AE30" s="146" t="n"/>
      <c r="AF30" s="146" t="n"/>
      <c r="AG30" s="202">
        <f>SUM(B30:AF30)</f>
        <v/>
      </c>
    </row>
    <row r="31">
      <c r="A31" s="9" t="inlineStr">
        <is>
          <t>국민건강보험</t>
        </is>
      </c>
      <c r="B31" s="144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145" t="n">
        <v>1119740</v>
      </c>
      <c r="L31" s="145" t="n"/>
      <c r="M31" s="145" t="n"/>
      <c r="N31" s="145" t="n"/>
      <c r="O31" s="145" t="n"/>
      <c r="P31" s="145" t="n"/>
      <c r="Q31" s="145" t="n"/>
      <c r="R31" s="145" t="n"/>
      <c r="S31" s="145" t="n"/>
      <c r="T31" s="145" t="n"/>
      <c r="U31" s="145" t="n"/>
      <c r="V31" s="145" t="n"/>
      <c r="W31" s="145" t="n"/>
      <c r="X31" s="145" t="n"/>
      <c r="Y31" s="145" t="n"/>
      <c r="Z31" s="145" t="n"/>
      <c r="AA31" s="145" t="n"/>
      <c r="AB31" s="145" t="n"/>
      <c r="AC31" s="145" t="n"/>
      <c r="AD31" s="145" t="n"/>
      <c r="AE31" s="146" t="n"/>
      <c r="AF31" s="146" t="n"/>
      <c r="AG31" s="202">
        <f>SUM(B31:AF31)</f>
        <v/>
      </c>
    </row>
    <row r="32">
      <c r="A32" s="9" t="inlineStr">
        <is>
          <t>국민연금</t>
        </is>
      </c>
      <c r="B32" s="144" t="n"/>
      <c r="C32" s="145" t="n"/>
      <c r="D32" s="145" t="n"/>
      <c r="E32" s="145" t="n"/>
      <c r="F32" s="145" t="n"/>
      <c r="G32" s="145" t="n"/>
      <c r="H32" s="145" t="n"/>
      <c r="I32" s="145" t="n"/>
      <c r="J32" s="145" t="n"/>
      <c r="K32" s="145" t="n">
        <v>41730</v>
      </c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>
        <v>392350</v>
      </c>
      <c r="AA32" s="145" t="n"/>
      <c r="AB32" s="145" t="n"/>
      <c r="AC32" s="145" t="n"/>
      <c r="AD32" s="145" t="n"/>
      <c r="AE32" s="146" t="n"/>
      <c r="AF32" s="146" t="n"/>
      <c r="AG32" s="202">
        <f>SUM(B32:AF32)</f>
        <v/>
      </c>
    </row>
    <row r="33">
      <c r="A33" s="9" t="inlineStr">
        <is>
          <t>고용보험</t>
        </is>
      </c>
      <c r="B33" s="144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>
        <v>10150</v>
      </c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6" t="n"/>
      <c r="AF33" s="146" t="n"/>
      <c r="AG33" s="202">
        <f>SUM(B33:AF33)</f>
        <v/>
      </c>
    </row>
    <row r="34">
      <c r="A34" s="9" t="inlineStr">
        <is>
          <t>산재보험</t>
        </is>
      </c>
      <c r="B34" s="144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>
        <v>54820</v>
      </c>
      <c r="AA34" s="145" t="n"/>
      <c r="AB34" s="145" t="n"/>
      <c r="AC34" s="145" t="n"/>
      <c r="AD34" s="145" t="n"/>
      <c r="AE34" s="146" t="n"/>
      <c r="AF34" s="146" t="n"/>
      <c r="AG34" s="202">
        <f>SUM(B34:AF34)</f>
        <v/>
      </c>
    </row>
    <row r="35">
      <c r="A35" s="9" t="inlineStr">
        <is>
          <t>SK인텔릭스</t>
        </is>
      </c>
      <c r="B35" s="144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>
        <v>25900</v>
      </c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6" t="n"/>
      <c r="AF35" s="146" t="n"/>
      <c r="AG35" s="202">
        <f>SUM(B35:AF35)</f>
        <v/>
      </c>
    </row>
    <row r="36">
      <c r="A36" s="9" t="inlineStr">
        <is>
          <t>S1(N5851892)</t>
        </is>
      </c>
      <c r="B36" s="144" t="n"/>
      <c r="C36" s="145" t="n"/>
      <c r="D36" s="145" t="n"/>
      <c r="E36" s="145" t="n"/>
      <c r="F36" s="145" t="n">
        <v>44000</v>
      </c>
      <c r="G36" s="145" t="n"/>
      <c r="H36" s="145" t="n"/>
      <c r="I36" s="145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6" t="n"/>
      <c r="AF36" s="146" t="n"/>
      <c r="AG36" s="202">
        <f>SUM(B36:AF36)</f>
        <v/>
      </c>
    </row>
    <row r="37">
      <c r="A37" s="9" t="inlineStr">
        <is>
          <t>한화손해보험</t>
        </is>
      </c>
      <c r="B37" s="144" t="n"/>
      <c r="C37" s="145" t="n"/>
      <c r="D37" s="145" t="n"/>
      <c r="E37" s="145" t="n"/>
      <c r="F37" s="145" t="n">
        <v>30000</v>
      </c>
      <c r="G37" s="145" t="n"/>
      <c r="H37" s="145" t="n"/>
      <c r="I37" s="145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6" t="n"/>
      <c r="AF37" s="146" t="n"/>
      <c r="AG37" s="202">
        <f>SUM(B37:AF37)</f>
        <v/>
      </c>
    </row>
    <row r="38">
      <c r="A38" s="9" t="inlineStr">
        <is>
          <t>메리츠화재</t>
        </is>
      </c>
      <c r="B38" s="144" t="n"/>
      <c r="C38" s="145" t="n"/>
      <c r="D38" s="145" t="n"/>
      <c r="E38" s="145" t="n"/>
      <c r="F38" s="145" t="n">
        <v>46190</v>
      </c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6" t="n"/>
      <c r="AF38" s="146" t="n"/>
      <c r="AG38" s="202">
        <f>SUM(B38:AF38)</f>
        <v/>
      </c>
    </row>
    <row r="39">
      <c r="A39" s="9" t="inlineStr">
        <is>
          <t>KT통신요금</t>
        </is>
      </c>
      <c r="B39" s="144" t="n"/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>
        <v>22870</v>
      </c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6" t="n"/>
      <c r="AF39" s="146" t="n"/>
      <c r="AG39" s="202">
        <f>SUM(B39:AF39)</f>
        <v/>
      </c>
    </row>
    <row r="40" ht="17.5" customHeight="1" thickBot="1">
      <c r="A40" s="9" t="inlineStr">
        <is>
          <t>CM보험</t>
        </is>
      </c>
      <c r="B40" s="144" t="n"/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>
        <v>290500</v>
      </c>
      <c r="AB40" s="145" t="n"/>
      <c r="AC40" s="145" t="n"/>
      <c r="AD40" s="145" t="n"/>
      <c r="AE40" s="146" t="n"/>
      <c r="AF40" s="146" t="n"/>
      <c r="AG40" s="203">
        <f>SUM(B40:AF40)</f>
        <v/>
      </c>
    </row>
    <row r="41" ht="30" customHeight="1" thickBot="1">
      <c r="A41" s="26" t="n"/>
      <c r="B41" s="204">
        <f>SUM(B29:B40)</f>
        <v/>
      </c>
      <c r="C41" s="204">
        <f>SUM(C29:C40)</f>
        <v/>
      </c>
      <c r="D41" s="204">
        <f>SUM(D29:D40)</f>
        <v/>
      </c>
      <c r="E41" s="204">
        <f>SUM(E29:E40)</f>
        <v/>
      </c>
      <c r="F41" s="204">
        <f>SUM(F29:F40)</f>
        <v/>
      </c>
      <c r="G41" s="204">
        <f>SUM(G29:G40)</f>
        <v/>
      </c>
      <c r="H41" s="204">
        <f>SUM(H29:H40)</f>
        <v/>
      </c>
      <c r="I41" s="204">
        <f>SUM(I29:I40)</f>
        <v/>
      </c>
      <c r="J41" s="204">
        <f>SUM(J29:J40)</f>
        <v/>
      </c>
      <c r="K41" s="204">
        <f>SUM(K29:K40)</f>
        <v/>
      </c>
      <c r="L41" s="204">
        <f>SUM(L29:L40)</f>
        <v/>
      </c>
      <c r="M41" s="204">
        <f>SUM(M29:M40)</f>
        <v/>
      </c>
      <c r="N41" s="204">
        <f>SUM(N29:N40)</f>
        <v/>
      </c>
      <c r="O41" s="204">
        <f>SUM(O29:O40)</f>
        <v/>
      </c>
      <c r="P41" s="204">
        <f>SUM(P29:P40)</f>
        <v/>
      </c>
      <c r="Q41" s="204">
        <f>SUM(Q29:Q40)</f>
        <v/>
      </c>
      <c r="R41" s="204">
        <f>SUM(R29:R40)</f>
        <v/>
      </c>
      <c r="S41" s="204">
        <f>SUM(S29:S40)</f>
        <v/>
      </c>
      <c r="T41" s="204">
        <f>SUM(T29:T40)</f>
        <v/>
      </c>
      <c r="U41" s="204">
        <f>SUM(U29:U40)</f>
        <v/>
      </c>
      <c r="V41" s="204">
        <f>SUM(V29:V40)</f>
        <v/>
      </c>
      <c r="W41" s="204">
        <f>SUM(W29:W40)</f>
        <v/>
      </c>
      <c r="X41" s="204">
        <f>SUM(X29:X40)</f>
        <v/>
      </c>
      <c r="Y41" s="204">
        <f>SUM(Y29:Y40)</f>
        <v/>
      </c>
      <c r="Z41" s="204">
        <f>SUM(Z29:Z40)</f>
        <v/>
      </c>
      <c r="AA41" s="204">
        <f>SUM(AA29:AA40)</f>
        <v/>
      </c>
      <c r="AB41" s="204">
        <f>SUM(AB29:AB40)</f>
        <v/>
      </c>
      <c r="AC41" s="204">
        <f>SUM(AC29:AC40)</f>
        <v/>
      </c>
      <c r="AD41" s="204">
        <f>SUM(AD29:AD40)</f>
        <v/>
      </c>
      <c r="AE41" s="204">
        <f>SUM(AE29:AE40)</f>
        <v/>
      </c>
      <c r="AF41" s="204">
        <f>SUM(AF29:AF40)</f>
        <v/>
      </c>
      <c r="AG41" s="205">
        <f>SUM(AG29:AG40)</f>
        <v/>
      </c>
    </row>
    <row r="42">
      <c r="A42" s="9" t="inlineStr">
        <is>
          <t>영존임대료</t>
        </is>
      </c>
      <c r="B42" s="144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  <c r="AA42" s="145" t="n"/>
      <c r="AB42" s="145" t="n"/>
      <c r="AC42" s="145" t="n"/>
      <c r="AD42" s="145" t="n"/>
      <c r="AE42" s="146" t="n"/>
      <c r="AF42" s="146" t="n">
        <v>4763000</v>
      </c>
      <c r="AG42" s="206">
        <f>SUM(B42:AF42)</f>
        <v/>
      </c>
    </row>
    <row r="43">
      <c r="A43" s="9" t="inlineStr">
        <is>
          <t>영존관리비</t>
        </is>
      </c>
      <c r="B43" s="144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  <c r="AA43" s="145" t="n"/>
      <c r="AB43" s="145" t="n"/>
      <c r="AC43" s="145" t="n"/>
      <c r="AD43" s="145" t="n"/>
      <c r="AE43" s="146" t="n"/>
      <c r="AF43" s="146" t="n">
        <v>1192940</v>
      </c>
      <c r="AG43" s="202">
        <f>SUM(B43:AF43)</f>
        <v/>
      </c>
    </row>
    <row r="44" ht="29.5" customHeight="1" thickBot="1">
      <c r="A44" s="24" t="n"/>
      <c r="B44" s="207">
        <f>SUM(B42:B43)</f>
        <v/>
      </c>
      <c r="C44" s="207">
        <f>SUM(C42:C43)</f>
        <v/>
      </c>
      <c r="D44" s="207">
        <f>SUM(D42:D43)</f>
        <v/>
      </c>
      <c r="E44" s="207">
        <f>SUM(E42:E43)</f>
        <v/>
      </c>
      <c r="F44" s="207">
        <f>SUM(F42:F43)</f>
        <v/>
      </c>
      <c r="G44" s="207">
        <f>SUM(G42:G43)</f>
        <v/>
      </c>
      <c r="H44" s="207">
        <f>SUM(H42:H43)</f>
        <v/>
      </c>
      <c r="I44" s="207">
        <f>SUM(I42:I43)</f>
        <v/>
      </c>
      <c r="J44" s="207">
        <f>SUM(J42:J43)</f>
        <v/>
      </c>
      <c r="K44" s="207">
        <f>SUM(K42:K43)</f>
        <v/>
      </c>
      <c r="L44" s="207">
        <f>SUM(L42:L43)</f>
        <v/>
      </c>
      <c r="M44" s="207">
        <f>SUM(M42:M43)</f>
        <v/>
      </c>
      <c r="N44" s="207">
        <f>SUM(N42:N43)</f>
        <v/>
      </c>
      <c r="O44" s="207">
        <f>SUM(O42:O43)</f>
        <v/>
      </c>
      <c r="P44" s="207">
        <f>SUM(P42:P43)</f>
        <v/>
      </c>
      <c r="Q44" s="207">
        <f>SUM(Q42:Q43)</f>
        <v/>
      </c>
      <c r="R44" s="207">
        <f>SUM(R42:R43)</f>
        <v/>
      </c>
      <c r="S44" s="207">
        <f>SUM(S42:S43)</f>
        <v/>
      </c>
      <c r="T44" s="207">
        <f>SUM(T42:T43)</f>
        <v/>
      </c>
      <c r="U44" s="207">
        <f>SUM(U42:U43)</f>
        <v/>
      </c>
      <c r="V44" s="207">
        <f>SUM(V42:V43)</f>
        <v/>
      </c>
      <c r="W44" s="207">
        <f>SUM(W42:W43)</f>
        <v/>
      </c>
      <c r="X44" s="207">
        <f>SUM(X42:X43)</f>
        <v/>
      </c>
      <c r="Y44" s="207">
        <f>SUM(Y42:Y43)</f>
        <v/>
      </c>
      <c r="Z44" s="207">
        <f>SUM(Z42:Z43)</f>
        <v/>
      </c>
      <c r="AA44" s="207">
        <f>SUM(AA42:AA43)</f>
        <v/>
      </c>
      <c r="AB44" s="207">
        <f>SUM(AB42:AB43)</f>
        <v/>
      </c>
      <c r="AC44" s="207">
        <f>SUM(AC42:AC43)</f>
        <v/>
      </c>
      <c r="AD44" s="207">
        <f>SUM(AD42:AD43)</f>
        <v/>
      </c>
      <c r="AE44" s="207" t="n"/>
      <c r="AF44" s="207">
        <f>SUM(AF42:AF43)</f>
        <v/>
      </c>
      <c r="AG44" s="208">
        <f>SUM(AG42:AG43)</f>
        <v/>
      </c>
    </row>
  </sheetData>
  <mergeCells count="1">
    <mergeCell ref="A1:A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8"/>
  <sheetViews>
    <sheetView topLeftCell="A2" zoomScaleNormal="100" workbookViewId="0">
      <pane ySplit="1" topLeftCell="A29" activePane="bottomLeft" state="frozen"/>
      <selection activeCell="A2" sqref="A2"/>
      <selection pane="bottomLeft" activeCell="Y27" sqref="Y27"/>
    </sheetView>
  </sheetViews>
  <sheetFormatPr baseColWidth="8" defaultRowHeight="17"/>
  <cols>
    <col width="21.9140625" customWidth="1" style="2" min="1" max="1"/>
    <col width="12.25" customWidth="1" style="124" min="2" max="10"/>
    <col width="13.58203125" customWidth="1" style="124" min="11" max="11"/>
    <col width="12.25" customWidth="1" style="124" min="12" max="30"/>
    <col width="13.83203125" customWidth="1" style="124" min="31" max="31"/>
    <col width="14.4140625" customWidth="1" style="124" min="32" max="32"/>
    <col width="14.4140625" customWidth="1" style="2" min="33" max="33"/>
    <col width="8.6640625" customWidth="1" style="2" min="34" max="16384"/>
  </cols>
  <sheetData>
    <row r="1" hidden="1" ht="38" customHeight="1" thickBot="1">
      <c r="A1" s="121" t="inlineStr">
        <is>
          <t>일별 거래내역서 (2025.9월)</t>
        </is>
      </c>
    </row>
    <row r="2" ht="24" customHeight="1">
      <c r="A2" s="8" t="n"/>
      <c r="B2" s="190" t="n">
        <v>1</v>
      </c>
      <c r="C2" s="191" t="n">
        <v>2</v>
      </c>
      <c r="D2" s="191" t="n">
        <v>3</v>
      </c>
      <c r="E2" s="191" t="n">
        <v>4</v>
      </c>
      <c r="F2" s="191" t="n">
        <v>5</v>
      </c>
      <c r="G2" s="191" t="n">
        <v>6</v>
      </c>
      <c r="H2" s="191" t="n">
        <v>7</v>
      </c>
      <c r="I2" s="191" t="n">
        <v>8</v>
      </c>
      <c r="J2" s="191" t="n">
        <v>9</v>
      </c>
      <c r="K2" s="191" t="n">
        <v>10</v>
      </c>
      <c r="L2" s="191" t="n">
        <v>11</v>
      </c>
      <c r="M2" s="191" t="n">
        <v>12</v>
      </c>
      <c r="N2" s="191" t="n">
        <v>13</v>
      </c>
      <c r="O2" s="191" t="n">
        <v>14</v>
      </c>
      <c r="P2" s="191" t="n">
        <v>15</v>
      </c>
      <c r="Q2" s="191" t="n">
        <v>16</v>
      </c>
      <c r="R2" s="191" t="n">
        <v>17</v>
      </c>
      <c r="S2" s="191" t="n">
        <v>18</v>
      </c>
      <c r="T2" s="191" t="n">
        <v>19</v>
      </c>
      <c r="U2" s="191" t="n">
        <v>20</v>
      </c>
      <c r="V2" s="191" t="n">
        <v>21</v>
      </c>
      <c r="W2" s="191" t="n">
        <v>22</v>
      </c>
      <c r="X2" s="191" t="n">
        <v>23</v>
      </c>
      <c r="Y2" s="191" t="n">
        <v>24</v>
      </c>
      <c r="Z2" s="191" t="n">
        <v>25</v>
      </c>
      <c r="AA2" s="191" t="n">
        <v>26</v>
      </c>
      <c r="AB2" s="191" t="n">
        <v>27</v>
      </c>
      <c r="AC2" s="191" t="n">
        <v>28</v>
      </c>
      <c r="AD2" s="191" t="n">
        <v>29</v>
      </c>
      <c r="AE2" s="192" t="n">
        <v>30</v>
      </c>
      <c r="AF2" s="192" t="n">
        <v>31</v>
      </c>
      <c r="AG2" s="19" t="n"/>
    </row>
    <row r="3">
      <c r="A3" s="9" t="inlineStr">
        <is>
          <t>고구마켓(은제민)</t>
        </is>
      </c>
      <c r="B3" s="144" t="n">
        <v>180000</v>
      </c>
      <c r="C3" s="145" t="n"/>
      <c r="D3" s="145" t="n"/>
      <c r="E3" s="145" t="n"/>
      <c r="F3" s="145" t="n"/>
      <c r="G3" s="145" t="n"/>
      <c r="H3" s="145" t="n"/>
      <c r="I3" s="145" t="n">
        <v>615000</v>
      </c>
      <c r="J3" s="145" t="n"/>
      <c r="K3" s="145" t="n"/>
      <c r="L3" s="145" t="n"/>
      <c r="M3" s="145" t="n"/>
      <c r="N3" s="145" t="n"/>
      <c r="O3" s="145" t="n">
        <v>360000</v>
      </c>
      <c r="P3" s="145" t="n">
        <v>180000</v>
      </c>
      <c r="Q3" s="145" t="n"/>
      <c r="R3" s="145" t="n"/>
      <c r="S3" s="145" t="inlineStr">
        <is>
          <t> </t>
        </is>
      </c>
      <c r="T3" s="145" t="n">
        <v>360000</v>
      </c>
      <c r="U3" s="145" t="n"/>
      <c r="V3" s="145" t="n"/>
      <c r="W3" s="145" t="n"/>
      <c r="X3" s="145" t="n">
        <v>180000</v>
      </c>
      <c r="Y3" s="145" t="n"/>
      <c r="Z3" s="145" t="n"/>
      <c r="AA3" s="145" t="n"/>
      <c r="AB3" s="145" t="n"/>
      <c r="AC3" s="145" t="n"/>
      <c r="AD3" s="145" t="n">
        <v>420000</v>
      </c>
      <c r="AE3" s="146" t="n"/>
      <c r="AF3" s="146" t="n"/>
      <c r="AG3" s="193">
        <f>SUM(B3:AF3)</f>
        <v/>
      </c>
    </row>
    <row r="4">
      <c r="A4" s="9" t="inlineStr">
        <is>
          <t>찬들농산(김영민)</t>
        </is>
      </c>
      <c r="B4" s="144" t="n"/>
      <c r="C4" s="145" t="n">
        <v>113800</v>
      </c>
      <c r="D4" s="145" t="n">
        <v>47000</v>
      </c>
      <c r="E4" s="145" t="n">
        <v>6000</v>
      </c>
      <c r="F4" s="145" t="n">
        <v>130000</v>
      </c>
      <c r="G4" s="145" t="n"/>
      <c r="H4" s="145" t="n"/>
      <c r="I4" s="145" t="n">
        <v>80000</v>
      </c>
      <c r="J4" s="145" t="n"/>
      <c r="K4" s="145" t="n"/>
      <c r="L4" s="145" t="n">
        <v>85000</v>
      </c>
      <c r="M4" s="145" t="n">
        <v>90800</v>
      </c>
      <c r="N4" s="145" t="n"/>
      <c r="O4" s="145" t="n"/>
      <c r="P4" s="145" t="n">
        <v>56000</v>
      </c>
      <c r="Q4" s="145" t="n">
        <v>71400</v>
      </c>
      <c r="R4" s="145" t="n"/>
      <c r="S4" s="145" t="n">
        <v>49000</v>
      </c>
      <c r="T4" s="145" t="n">
        <v>114000</v>
      </c>
      <c r="U4" s="145" t="n"/>
      <c r="V4" s="145" t="n"/>
      <c r="W4" s="145" t="n">
        <v>52000</v>
      </c>
      <c r="X4" s="145" t="n"/>
      <c r="Y4" s="145" t="n"/>
      <c r="Z4" s="145" t="n"/>
      <c r="AA4" s="145" t="n">
        <v>65000</v>
      </c>
      <c r="AB4" s="145" t="n"/>
      <c r="AC4" s="145" t="n"/>
      <c r="AD4" s="145" t="n">
        <v>97000</v>
      </c>
      <c r="AE4" s="146" t="n"/>
      <c r="AF4" s="146" t="n">
        <v>91500</v>
      </c>
      <c r="AG4" s="193">
        <f>SUM(B4:AF4)</f>
        <v/>
      </c>
    </row>
    <row r="5">
      <c r="A5" s="9" t="inlineStr">
        <is>
          <t>홍성상회(최희상)</t>
        </is>
      </c>
      <c r="B5" s="144" t="n">
        <v>64000</v>
      </c>
      <c r="C5" s="145" t="n"/>
      <c r="D5" s="145" t="n"/>
      <c r="E5" s="145" t="n">
        <v>64000</v>
      </c>
      <c r="F5" s="145" t="n"/>
      <c r="G5" s="145" t="n"/>
      <c r="H5" s="145" t="n"/>
      <c r="I5" s="145" t="n">
        <v>64000</v>
      </c>
      <c r="J5" s="145" t="n"/>
      <c r="K5" s="145" t="n"/>
      <c r="L5" s="145" t="n">
        <v>32000</v>
      </c>
      <c r="M5" s="145" t="n"/>
      <c r="N5" s="145" t="n"/>
      <c r="O5" s="145" t="n"/>
      <c r="P5" s="145" t="n"/>
      <c r="Q5" s="145" t="n">
        <v>64000</v>
      </c>
      <c r="R5" s="145" t="n"/>
      <c r="S5" s="145" t="n">
        <v>32000</v>
      </c>
      <c r="T5" s="145" t="n"/>
      <c r="U5" s="145" t="n"/>
      <c r="V5" s="145" t="n"/>
      <c r="W5" s="145" t="n">
        <v>64000</v>
      </c>
      <c r="X5" s="145" t="n"/>
      <c r="Y5" s="145" t="n"/>
      <c r="Z5" s="145" t="n"/>
      <c r="AA5" s="145" t="n">
        <v>32000</v>
      </c>
      <c r="AB5" s="145" t="n"/>
      <c r="AC5" s="145" t="n"/>
      <c r="AD5" s="145" t="n">
        <v>64000</v>
      </c>
      <c r="AE5" s="146" t="n"/>
      <c r="AF5" s="146" t="n">
        <v>32000</v>
      </c>
      <c r="AG5" s="193">
        <f>SUM(B5:AF5)</f>
        <v/>
      </c>
    </row>
    <row r="6">
      <c r="A6" s="9" t="inlineStr">
        <is>
          <t>조양마트</t>
        </is>
      </c>
      <c r="B6" s="144" t="n"/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P6" s="145" t="n"/>
      <c r="Q6" s="145" t="n"/>
      <c r="R6" s="145" t="n"/>
      <c r="S6" s="145" t="n"/>
      <c r="T6" s="145" t="n"/>
      <c r="U6" s="145" t="n"/>
      <c r="V6" s="145" t="n"/>
      <c r="W6" s="145" t="n"/>
      <c r="X6" s="145" t="n"/>
      <c r="Y6" s="145" t="n"/>
      <c r="Z6" s="145" t="n"/>
      <c r="AA6" s="145" t="n"/>
      <c r="AB6" s="145" t="n"/>
      <c r="AC6" s="145" t="n"/>
      <c r="AD6" s="145" t="n"/>
      <c r="AE6" s="146" t="n"/>
      <c r="AF6" s="146" t="n"/>
      <c r="AG6" s="193">
        <f>SUM(B6:AF6)</f>
        <v/>
      </c>
    </row>
    <row r="7">
      <c r="A7" s="9" t="inlineStr">
        <is>
          <t>㈜용담유통</t>
        </is>
      </c>
      <c r="B7" s="144" t="n"/>
      <c r="C7" s="145" t="n"/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5" t="n"/>
      <c r="O7" s="145" t="n"/>
      <c r="P7" s="145" t="n"/>
      <c r="Q7" s="145" t="n"/>
      <c r="R7" s="145" t="n"/>
      <c r="S7" s="145" t="n"/>
      <c r="T7" s="145" t="n"/>
      <c r="U7" s="145" t="n"/>
      <c r="V7" s="145" t="n"/>
      <c r="W7" s="145" t="n"/>
      <c r="X7" s="145" t="n"/>
      <c r="Y7" s="145" t="n"/>
      <c r="Z7" s="145" t="n"/>
      <c r="AA7" s="145" t="n"/>
      <c r="AB7" s="145" t="n"/>
      <c r="AC7" s="145" t="n"/>
      <c r="AD7" s="145" t="n"/>
      <c r="AE7" s="146" t="n"/>
      <c r="AF7" s="146" t="n"/>
      <c r="AG7" s="193">
        <f>SUM(B7:AF7)</f>
        <v/>
      </c>
    </row>
    <row r="8">
      <c r="A8" s="9" t="inlineStr">
        <is>
          <t>㈜에코두레</t>
        </is>
      </c>
      <c r="B8" s="144" t="n"/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>
        <v>409750</v>
      </c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>
        <v>247500</v>
      </c>
      <c r="Y8" s="145" t="n"/>
      <c r="Z8" s="145" t="n"/>
      <c r="AA8" s="145" t="n"/>
      <c r="AB8" s="145" t="n"/>
      <c r="AC8" s="145" t="n"/>
      <c r="AD8" s="145" t="n"/>
      <c r="AE8" s="146" t="n"/>
      <c r="AF8" s="146" t="n"/>
      <c r="AG8" s="193">
        <f>SUM(B8:AF8)</f>
        <v/>
      </c>
    </row>
    <row r="9">
      <c r="A9" s="9" t="inlineStr">
        <is>
          <t>코스트코</t>
        </is>
      </c>
      <c r="B9" s="144" t="n"/>
      <c r="C9" s="145" t="n"/>
      <c r="D9" s="145" t="n"/>
      <c r="E9" s="145" t="n"/>
      <c r="F9" s="145" t="n"/>
      <c r="G9" s="145" t="n"/>
      <c r="H9" s="145" t="n"/>
      <c r="I9" s="145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6" t="n"/>
      <c r="AF9" s="146" t="n"/>
      <c r="AG9" s="193">
        <f>SUM(B9:AF9)</f>
        <v/>
      </c>
    </row>
    <row r="10">
      <c r="A10" s="9" t="inlineStr">
        <is>
          <t>트레이더스</t>
        </is>
      </c>
      <c r="B10" s="144" t="n"/>
      <c r="C10" s="145" t="n"/>
      <c r="D10" s="145" t="n"/>
      <c r="E10" s="145" t="n"/>
      <c r="F10" s="145" t="n"/>
      <c r="G10" s="145" t="n"/>
      <c r="H10" s="145" t="n"/>
      <c r="I10" s="145" t="n"/>
      <c r="J10" s="145" t="n"/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6" t="n"/>
      <c r="AF10" s="146" t="n"/>
      <c r="AG10" s="193">
        <f>SUM(B10:AF10)</f>
        <v/>
      </c>
    </row>
    <row r="11">
      <c r="A11" s="9" t="inlineStr">
        <is>
          <t>이마트</t>
        </is>
      </c>
      <c r="B11" s="144" t="n"/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6" t="n"/>
      <c r="AF11" s="146" t="n"/>
      <c r="AG11" s="193">
        <f>SUM(B11:AF11)</f>
        <v/>
      </c>
    </row>
    <row r="12">
      <c r="A12" s="9" t="inlineStr">
        <is>
          <t>상대유통㈜</t>
        </is>
      </c>
      <c r="B12" s="144" t="n"/>
      <c r="C12" s="145" t="n"/>
      <c r="D12" s="145" t="n"/>
      <c r="E12" s="145" t="n"/>
      <c r="F12" s="145" t="n"/>
      <c r="G12" s="145" t="n"/>
      <c r="H12" s="145" t="n"/>
      <c r="I12" s="145" t="n"/>
      <c r="J12" s="145" t="n"/>
      <c r="K12" s="145" t="n"/>
      <c r="L12" s="145" t="n"/>
      <c r="M12" s="145" t="n"/>
      <c r="N12" s="145" t="n"/>
      <c r="O12" s="145" t="n"/>
      <c r="P12" s="145" t="n"/>
      <c r="Q12" s="145" t="n"/>
      <c r="R12" s="145" t="n"/>
      <c r="S12" s="145" t="n"/>
      <c r="T12" s="145" t="n"/>
      <c r="U12" s="145" t="n"/>
      <c r="V12" s="145" t="n"/>
      <c r="W12" s="145" t="n"/>
      <c r="X12" s="145" t="n"/>
      <c r="Y12" s="145" t="n"/>
      <c r="Z12" s="145" t="n"/>
      <c r="AA12" s="145" t="n"/>
      <c r="AB12" s="145" t="n"/>
      <c r="AC12" s="145" t="n"/>
      <c r="AD12" s="145" t="n"/>
      <c r="AE12" s="146" t="n"/>
      <c r="AF12" s="146" t="n"/>
      <c r="AG12" s="193">
        <f>SUM(B12:AF12)</f>
        <v/>
      </c>
    </row>
    <row r="13">
      <c r="A13" s="9" t="inlineStr">
        <is>
          <t>다농마트</t>
        </is>
      </c>
      <c r="B13" s="144" t="n"/>
      <c r="C13" s="145" t="n"/>
      <c r="D13" s="145" t="n"/>
      <c r="E13" s="145" t="n"/>
      <c r="F13" s="145" t="n"/>
      <c r="G13" s="145" t="n"/>
      <c r="H13" s="145" t="n"/>
      <c r="I13" s="145" t="n"/>
      <c r="J13" s="145" t="n"/>
      <c r="K13" s="145" t="n"/>
      <c r="L13" s="145" t="n"/>
      <c r="M13" s="145" t="n"/>
      <c r="N13" s="145" t="n"/>
      <c r="O13" s="145" t="n"/>
      <c r="P13" s="145" t="n"/>
      <c r="Q13" s="145" t="n"/>
      <c r="R13" s="145" t="n"/>
      <c r="S13" s="145" t="n"/>
      <c r="T13" s="145" t="n"/>
      <c r="U13" s="145" t="n"/>
      <c r="V13" s="145" t="n"/>
      <c r="W13" s="145" t="n"/>
      <c r="X13" s="145" t="n"/>
      <c r="Y13" s="145" t="n"/>
      <c r="Z13" s="145" t="n"/>
      <c r="AA13" s="145" t="n"/>
      <c r="AB13" s="145" t="n"/>
      <c r="AC13" s="145" t="n"/>
      <c r="AD13" s="145" t="n"/>
      <c r="AE13" s="146" t="n"/>
      <c r="AF13" s="146" t="n"/>
      <c r="AG13" s="193">
        <f>SUM(B13:AF13)</f>
        <v/>
      </c>
    </row>
    <row r="14">
      <c r="A14" s="9" t="inlineStr">
        <is>
          <t>(주)유창</t>
        </is>
      </c>
      <c r="B14" s="144" t="n"/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  <c r="AA14" s="145" t="n"/>
      <c r="AB14" s="145" t="n"/>
      <c r="AC14" s="145" t="n"/>
      <c r="AD14" s="145" t="n"/>
      <c r="AE14" s="146" t="n"/>
      <c r="AF14" s="146" t="n"/>
      <c r="AG14" s="193">
        <f>SUM(B14:AF14)</f>
        <v/>
      </c>
    </row>
    <row r="15">
      <c r="A15" s="9" t="inlineStr">
        <is>
          <t>대한유통</t>
        </is>
      </c>
      <c r="B15" s="144" t="n"/>
      <c r="C15" s="145" t="n"/>
      <c r="D15" s="145" t="n"/>
      <c r="E15" s="145" t="n"/>
      <c r="F15" s="145" t="n"/>
      <c r="G15" s="145" t="n"/>
      <c r="H15" s="145" t="n"/>
      <c r="I15" s="145" t="n"/>
      <c r="J15" s="145" t="n"/>
      <c r="K15" s="145" t="n"/>
      <c r="L15" s="145" t="n"/>
      <c r="M15" s="145" t="n"/>
      <c r="N15" s="145" t="n"/>
      <c r="O15" s="145" t="n"/>
      <c r="P15" s="145" t="n"/>
      <c r="Q15" s="145" t="n"/>
      <c r="R15" s="145" t="n"/>
      <c r="S15" s="145" t="n"/>
      <c r="T15" s="145" t="n"/>
      <c r="U15" s="145" t="n"/>
      <c r="V15" s="145" t="n"/>
      <c r="W15" s="145" t="n"/>
      <c r="X15" s="145" t="n"/>
      <c r="Y15" s="145" t="n"/>
      <c r="Z15" s="145" t="n"/>
      <c r="AA15" s="145" t="n"/>
      <c r="AB15" s="145" t="n"/>
      <c r="AC15" s="145" t="n"/>
      <c r="AD15" s="145" t="n"/>
      <c r="AE15" s="146" t="n"/>
      <c r="AF15" s="146" t="n"/>
      <c r="AG15" s="193">
        <f>SUM(B15:AF15)</f>
        <v/>
      </c>
    </row>
    <row r="16">
      <c r="A16" s="9" t="inlineStr">
        <is>
          <t>재우상회</t>
        </is>
      </c>
      <c r="B16" s="144" t="n"/>
      <c r="C16" s="145" t="n"/>
      <c r="D16" s="145" t="n"/>
      <c r="E16" s="145" t="n"/>
      <c r="F16" s="145" t="n"/>
      <c r="G16" s="145" t="n"/>
      <c r="H16" s="145" t="n"/>
      <c r="I16" s="145" t="n"/>
      <c r="J16" s="145" t="n"/>
      <c r="K16" s="145" t="n"/>
      <c r="L16" s="145" t="n"/>
      <c r="M16" s="145" t="n"/>
      <c r="N16" s="145" t="n"/>
      <c r="O16" s="145" t="n"/>
      <c r="P16" s="145" t="n"/>
      <c r="Q16" s="145" t="n"/>
      <c r="R16" s="145" t="n"/>
      <c r="S16" s="145" t="n"/>
      <c r="T16" s="145" t="n"/>
      <c r="U16" s="145" t="n"/>
      <c r="V16" s="145" t="n"/>
      <c r="W16" s="145" t="n"/>
      <c r="X16" s="145" t="n"/>
      <c r="Y16" s="145" t="n"/>
      <c r="Z16" s="145" t="n"/>
      <c r="AA16" s="145" t="n"/>
      <c r="AB16" s="145" t="n"/>
      <c r="AC16" s="145" t="n"/>
      <c r="AD16" s="145" t="n"/>
      <c r="AE16" s="146" t="n"/>
      <c r="AF16" s="146" t="n"/>
      <c r="AG16" s="193">
        <f>SUM(B16:AF16)</f>
        <v/>
      </c>
    </row>
    <row r="17">
      <c r="A17" s="9" t="inlineStr">
        <is>
          <t>㈜에스에프앤비</t>
        </is>
      </c>
      <c r="B17" s="144" t="n"/>
      <c r="C17" s="145" t="n"/>
      <c r="D17" s="145" t="n"/>
      <c r="E17" s="145" t="n"/>
      <c r="F17" s="145" t="n"/>
      <c r="G17" s="145" t="n"/>
      <c r="H17" s="145" t="n"/>
      <c r="I17" s="145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6" t="n"/>
      <c r="AF17" s="146" t="n"/>
      <c r="AG17" s="193">
        <f>SUM(B17:AF17)</f>
        <v/>
      </c>
    </row>
    <row r="18">
      <c r="A18" s="9" t="inlineStr">
        <is>
          <t>용산식품</t>
        </is>
      </c>
      <c r="B18" s="144" t="n"/>
      <c r="C18" s="145" t="n"/>
      <c r="D18" s="145" t="n"/>
      <c r="E18" s="145" t="n"/>
      <c r="F18" s="145" t="n"/>
      <c r="G18" s="145" t="n"/>
      <c r="H18" s="145" t="n"/>
      <c r="I18" s="145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6" t="n"/>
      <c r="AF18" s="146" t="n"/>
      <c r="AG18" s="193">
        <f>SUM(B18:AF18)</f>
        <v/>
      </c>
    </row>
    <row r="19">
      <c r="A19" s="9" t="inlineStr">
        <is>
          <t>쿠팡</t>
        </is>
      </c>
      <c r="B19" s="144" t="n"/>
      <c r="C19" s="145" t="n"/>
      <c r="D19" s="145" t="n"/>
      <c r="E19" s="145" t="n">
        <v>100000</v>
      </c>
      <c r="F19" s="145" t="n"/>
      <c r="G19" s="145" t="n"/>
      <c r="H19" s="145" t="n"/>
      <c r="I19" s="145" t="n"/>
      <c r="J19" s="145" t="n"/>
      <c r="K19" s="145" t="n"/>
      <c r="L19" s="145" t="n">
        <v>7890</v>
      </c>
      <c r="M19" s="145" t="n"/>
      <c r="N19" s="145" t="n"/>
      <c r="O19" s="145" t="n"/>
      <c r="P19" s="145" t="n"/>
      <c r="Q19" s="145" t="n">
        <v>100000</v>
      </c>
      <c r="R19" s="145" t="n"/>
      <c r="S19" s="145" t="n"/>
      <c r="T19" s="145" t="n">
        <v>400000</v>
      </c>
      <c r="U19" s="145" t="n"/>
      <c r="V19" s="145" t="n"/>
      <c r="W19" s="145" t="n"/>
      <c r="X19" s="145" t="n"/>
      <c r="Y19" s="145" t="n"/>
      <c r="Z19" s="145" t="n"/>
      <c r="AA19" s="145" t="n"/>
      <c r="AB19" s="145" t="n"/>
      <c r="AC19" s="145" t="n"/>
      <c r="AD19" s="145" t="n"/>
      <c r="AE19" s="146" t="n"/>
      <c r="AF19" s="146" t="n"/>
      <c r="AG19" s="193">
        <f>SUM(B19:AF19)</f>
        <v/>
      </c>
    </row>
    <row r="20">
      <c r="A20" s="9" t="inlineStr">
        <is>
          <t>당근페이</t>
        </is>
      </c>
      <c r="B20" s="144" t="n"/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>
        <v>42000</v>
      </c>
      <c r="S20" s="145" t="n"/>
      <c r="T20" s="145" t="n"/>
      <c r="U20" s="145" t="n"/>
      <c r="V20" s="145" t="n"/>
      <c r="W20" s="145" t="n"/>
      <c r="X20" s="145" t="n"/>
      <c r="Y20" s="145" t="n"/>
      <c r="Z20" s="145" t="n">
        <v>10000</v>
      </c>
      <c r="AA20" s="145" t="n"/>
      <c r="AB20" s="145" t="n"/>
      <c r="AC20" s="145" t="n"/>
      <c r="AD20" s="145" t="n"/>
      <c r="AE20" s="146" t="n"/>
      <c r="AF20" s="146" t="n"/>
      <c r="AG20" s="193" t="n"/>
    </row>
    <row r="21">
      <c r="A21" s="9" t="inlineStr">
        <is>
          <t>배민상회</t>
        </is>
      </c>
      <c r="B21" s="144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5" t="n"/>
      <c r="M21" s="145" t="n"/>
      <c r="N21" s="145" t="n"/>
      <c r="O21" s="145" t="n"/>
      <c r="P21" s="145" t="n"/>
      <c r="Q21" s="145" t="n"/>
      <c r="R21" s="145" t="n"/>
      <c r="S21" s="145" t="n"/>
      <c r="T21" s="145" t="n"/>
      <c r="U21" s="145" t="n"/>
      <c r="V21" s="145" t="n"/>
      <c r="W21" s="145" t="n"/>
      <c r="X21" s="145" t="n"/>
      <c r="Y21" s="145" t="n"/>
      <c r="Z21" s="145" t="n"/>
      <c r="AA21" s="145" t="n"/>
      <c r="AB21" s="145" t="n"/>
      <c r="AC21" s="145" t="n"/>
      <c r="AD21" s="145" t="n"/>
      <c r="AE21" s="146" t="n"/>
      <c r="AF21" s="146" t="n"/>
      <c r="AG21" s="193">
        <f>SUM(B21:AF21)</f>
        <v/>
      </c>
    </row>
    <row r="22">
      <c r="A22" s="9" t="inlineStr">
        <is>
          <t>다인푸드닷컴</t>
        </is>
      </c>
      <c r="B22" s="144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6" t="n"/>
      <c r="AF22" s="146" t="n"/>
      <c r="AG22" s="193">
        <f>SUM(B22:AF22)</f>
        <v/>
      </c>
    </row>
    <row r="23">
      <c r="A23" s="9" t="inlineStr">
        <is>
          <t>㈜한주주방아웃렛</t>
        </is>
      </c>
      <c r="B23" s="144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45" t="n"/>
      <c r="U23" s="145" t="n"/>
      <c r="V23" s="145" t="n"/>
      <c r="W23" s="145" t="n"/>
      <c r="X23" s="145" t="n"/>
      <c r="Y23" s="145" t="n"/>
      <c r="Z23" s="145" t="n"/>
      <c r="AA23" s="145" t="n"/>
      <c r="AB23" s="145" t="n"/>
      <c r="AC23" s="145" t="n"/>
      <c r="AD23" s="145" t="n"/>
      <c r="AE23" s="146" t="n"/>
      <c r="AF23" s="146" t="n"/>
      <c r="AG23" s="193">
        <f>SUM(B23:AF23)</f>
        <v/>
      </c>
    </row>
    <row r="24">
      <c r="A24" s="9" t="inlineStr">
        <is>
          <t>㈜신진상사</t>
        </is>
      </c>
      <c r="B24" s="144" t="n"/>
      <c r="C24" s="145" t="n"/>
      <c r="D24" s="145" t="n"/>
      <c r="E24" s="145" t="n"/>
      <c r="F24" s="145" t="n"/>
      <c r="G24" s="145" t="n"/>
      <c r="H24" s="145" t="n"/>
      <c r="I24" s="145" t="n"/>
      <c r="J24" s="145" t="n"/>
      <c r="K24" s="145" t="n"/>
      <c r="L24" s="145" t="n"/>
      <c r="M24" s="145" t="n"/>
      <c r="N24" s="145" t="n"/>
      <c r="O24" s="145" t="n"/>
      <c r="P24" s="145" t="n"/>
      <c r="Q24" s="145" t="n"/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6" t="n"/>
      <c r="AF24" s="146" t="n"/>
      <c r="AG24" s="193">
        <f>SUM(B24:AF24)</f>
        <v/>
      </c>
    </row>
    <row r="25">
      <c r="A25" s="9" t="inlineStr">
        <is>
          <t>창미포장기계(유용운)</t>
        </is>
      </c>
      <c r="B25" s="144" t="n"/>
      <c r="C25" s="145" t="n"/>
      <c r="D25" s="145" t="n"/>
      <c r="E25" s="145" t="n"/>
      <c r="F25" s="145" t="n"/>
      <c r="G25" s="145" t="n"/>
      <c r="H25" s="145" t="n"/>
      <c r="I25" s="145" t="n"/>
      <c r="J25" s="145" t="n"/>
      <c r="K25" s="145" t="n"/>
      <c r="L25" s="145" t="n"/>
      <c r="M25" s="145" t="n"/>
      <c r="N25" s="145" t="n"/>
      <c r="O25" s="145" t="n"/>
      <c r="P25" s="145" t="n">
        <v>111120</v>
      </c>
      <c r="Q25" s="145" t="n"/>
      <c r="R25" s="145" t="n"/>
      <c r="S25" s="145" t="n"/>
      <c r="T25" s="145" t="n"/>
      <c r="U25" s="145" t="n"/>
      <c r="V25" s="145" t="n"/>
      <c r="W25" s="145" t="n"/>
      <c r="X25" s="145" t="n"/>
      <c r="Y25" s="145" t="n"/>
      <c r="Z25" s="145" t="n"/>
      <c r="AA25" s="145" t="n"/>
      <c r="AB25" s="145" t="n"/>
      <c r="AC25" s="145" t="n"/>
      <c r="AD25" s="145" t="n"/>
      <c r="AE25" s="146" t="n"/>
      <c r="AF25" s="146" t="n"/>
      <c r="AG25" s="193">
        <f>SUM(B25:AF25)</f>
        <v/>
      </c>
    </row>
    <row r="26">
      <c r="A26" s="9" t="inlineStr">
        <is>
          <t>에너지삼천</t>
        </is>
      </c>
      <c r="B26" s="144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6" t="n"/>
      <c r="AF26" s="146" t="n"/>
      <c r="AG26" s="193">
        <f>SUM(B26:AF26)</f>
        <v/>
      </c>
    </row>
    <row r="27">
      <c r="A27" s="9" t="inlineStr">
        <is>
          <t>신영산업(김도희)</t>
        </is>
      </c>
      <c r="B27" s="144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6" t="n"/>
      <c r="AF27" s="146" t="n">
        <v>94000</v>
      </c>
      <c r="AG27" s="193" t="n"/>
    </row>
    <row r="28">
      <c r="A28" s="9" t="inlineStr">
        <is>
          <t>새로피엔엘</t>
        </is>
      </c>
      <c r="B28" s="144" t="n"/>
      <c r="C28" s="145" t="n"/>
      <c r="D28" s="145" t="n"/>
      <c r="E28" s="145" t="n"/>
      <c r="F28" s="145" t="n"/>
      <c r="G28" s="145" t="n"/>
      <c r="H28" s="145" t="n"/>
      <c r="I28" s="145" t="n"/>
      <c r="J28" s="145" t="n"/>
      <c r="K28" s="145" t="n"/>
      <c r="L28" s="145" t="n"/>
      <c r="M28" s="145" t="n"/>
      <c r="N28" s="145" t="n"/>
      <c r="O28" s="145" t="n"/>
      <c r="P28" s="145" t="n">
        <v>280000</v>
      </c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  <c r="AA28" s="145" t="n"/>
      <c r="AB28" s="145" t="n"/>
      <c r="AC28" s="145" t="n"/>
      <c r="AD28" s="145" t="n"/>
      <c r="AE28" s="146" t="n"/>
      <c r="AF28" s="146" t="n"/>
      <c r="AG28" s="193">
        <f>SUM(B28:AF28)</f>
        <v/>
      </c>
    </row>
    <row r="29" ht="17.5" customHeight="1" thickBot="1">
      <c r="A29" s="9" t="inlineStr">
        <is>
          <t>태영유통</t>
        </is>
      </c>
      <c r="B29" s="144" t="n"/>
      <c r="C29" s="145" t="n"/>
      <c r="D29" s="145" t="n"/>
      <c r="E29" s="145" t="n"/>
      <c r="F29" s="145" t="n"/>
      <c r="G29" s="145" t="n"/>
      <c r="H29" s="145" t="n"/>
      <c r="I29" s="145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6" t="n"/>
      <c r="AF29" s="146" t="n"/>
      <c r="AG29" s="194">
        <f>SUM(B29:AF29)</f>
        <v/>
      </c>
    </row>
    <row r="30" ht="29" customHeight="1" thickBot="1">
      <c r="A30" s="10" t="n"/>
      <c r="B30" s="195">
        <f>SUM(B3:B29)</f>
        <v/>
      </c>
      <c r="C30" s="195">
        <f>SUM(C3:C29)</f>
        <v/>
      </c>
      <c r="D30" s="195">
        <f>SUM(D3:D29)</f>
        <v/>
      </c>
      <c r="E30" s="195">
        <f>SUM(E3:E29)</f>
        <v/>
      </c>
      <c r="F30" s="195">
        <f>SUM(F3:F29)</f>
        <v/>
      </c>
      <c r="G30" s="195">
        <f>SUM(G3:G29)</f>
        <v/>
      </c>
      <c r="H30" s="195">
        <f>SUM(H3:H29)</f>
        <v/>
      </c>
      <c r="I30" s="195">
        <f>SUM(I3:I29)</f>
        <v/>
      </c>
      <c r="J30" s="195">
        <f>SUM(J3:J29)</f>
        <v/>
      </c>
      <c r="K30" s="195">
        <f>SUM(K3:K29)</f>
        <v/>
      </c>
      <c r="L30" s="195">
        <f>SUM(L3:L29)</f>
        <v/>
      </c>
      <c r="M30" s="195">
        <f>SUM(M3:M29)</f>
        <v/>
      </c>
      <c r="N30" s="195">
        <f>SUM(N3:N29)</f>
        <v/>
      </c>
      <c r="O30" s="195">
        <f>SUM(O3:O29)</f>
        <v/>
      </c>
      <c r="P30" s="195">
        <f>SUM(P3:P29)</f>
        <v/>
      </c>
      <c r="Q30" s="195">
        <f>SUM(Q3:Q29)</f>
        <v/>
      </c>
      <c r="R30" s="195">
        <f>SUM(R3:R29)</f>
        <v/>
      </c>
      <c r="S30" s="195">
        <f>SUM(S3:S29)</f>
        <v/>
      </c>
      <c r="T30" s="195">
        <f>SUM(T3:T29)</f>
        <v/>
      </c>
      <c r="U30" s="195">
        <f>SUM(U3:U29)</f>
        <v/>
      </c>
      <c r="V30" s="195">
        <f>SUM(V3:V29)</f>
        <v/>
      </c>
      <c r="W30" s="195">
        <f>SUM(W3:W29)</f>
        <v/>
      </c>
      <c r="X30" s="195">
        <f>SUM(X3:X29)</f>
        <v/>
      </c>
      <c r="Y30" s="195">
        <f>SUM(Y3:Y29)</f>
        <v/>
      </c>
      <c r="Z30" s="195">
        <f>SUM(Z3:Z29)</f>
        <v/>
      </c>
      <c r="AA30" s="195">
        <f>SUM(AA3:AA29)</f>
        <v/>
      </c>
      <c r="AB30" s="195">
        <f>SUM(AB3:AB29)</f>
        <v/>
      </c>
      <c r="AC30" s="195">
        <f>SUM(AC3:AC29)</f>
        <v/>
      </c>
      <c r="AD30" s="195">
        <f>SUM(AD3:AD29)</f>
        <v/>
      </c>
      <c r="AE30" s="196">
        <f>SUM(AE3:AE29)</f>
        <v/>
      </c>
      <c r="AF30" s="196">
        <f>SUM(AF3:AF29)</f>
        <v/>
      </c>
      <c r="AG30" s="209">
        <f>SUM(AG3:AG29)</f>
        <v/>
      </c>
    </row>
    <row r="31">
      <c r="A31" s="14" t="inlineStr">
        <is>
          <t>포유인포텍</t>
        </is>
      </c>
      <c r="B31" s="198" t="n"/>
      <c r="C31" s="199" t="n"/>
      <c r="D31" s="199" t="n"/>
      <c r="E31" s="199" t="n"/>
      <c r="F31" s="199" t="n">
        <v>5500</v>
      </c>
      <c r="G31" s="199" t="n"/>
      <c r="H31" s="199" t="n"/>
      <c r="I31" s="199" t="n"/>
      <c r="J31" s="199" t="n"/>
      <c r="K31" s="199" t="n"/>
      <c r="L31" s="199" t="n"/>
      <c r="M31" s="199" t="n"/>
      <c r="N31" s="199" t="n"/>
      <c r="O31" s="199" t="n"/>
      <c r="P31" s="199" t="n"/>
      <c r="Q31" s="199" t="n"/>
      <c r="R31" s="199" t="n"/>
      <c r="S31" s="199" t="n"/>
      <c r="T31" s="199" t="n"/>
      <c r="U31" s="199" t="n"/>
      <c r="V31" s="199" t="n"/>
      <c r="W31" s="199" t="n"/>
      <c r="X31" s="199" t="n"/>
      <c r="Y31" s="199" t="n"/>
      <c r="Z31" s="199" t="n"/>
      <c r="AA31" s="199" t="n"/>
      <c r="AB31" s="199" t="n"/>
      <c r="AC31" s="199" t="n"/>
      <c r="AD31" s="199" t="n"/>
      <c r="AE31" s="200" t="n"/>
      <c r="AF31" s="200" t="n"/>
      <c r="AG31" s="201">
        <f>SUM(B31:AF31)</f>
        <v/>
      </c>
    </row>
    <row r="32">
      <c r="A32" s="9" t="inlineStr">
        <is>
          <t>서울특징HON</t>
        </is>
      </c>
      <c r="B32" s="144" t="n"/>
      <c r="C32" s="145" t="n"/>
      <c r="D32" s="145" t="n">
        <v>37780</v>
      </c>
      <c r="E32" s="145" t="n"/>
      <c r="F32" s="145" t="n"/>
      <c r="G32" s="145" t="n"/>
      <c r="H32" s="145" t="n"/>
      <c r="I32" s="145" t="n"/>
      <c r="J32" s="145" t="n"/>
      <c r="K32" s="145" t="n"/>
      <c r="L32" s="145" t="n"/>
      <c r="M32" s="145" t="n"/>
      <c r="N32" s="145" t="n"/>
      <c r="O32" s="145" t="n"/>
      <c r="P32" s="145" t="n"/>
      <c r="Q32" s="145" t="n"/>
      <c r="R32" s="145" t="n"/>
      <c r="S32" s="145" t="n"/>
      <c r="T32" s="145" t="n"/>
      <c r="U32" s="145" t="n"/>
      <c r="V32" s="145" t="n"/>
      <c r="W32" s="145" t="n"/>
      <c r="X32" s="145" t="n"/>
      <c r="Y32" s="145" t="n"/>
      <c r="Z32" s="145" t="n"/>
      <c r="AA32" s="145" t="n"/>
      <c r="AB32" s="145" t="n"/>
      <c r="AC32" s="145" t="n"/>
      <c r="AD32" s="145" t="n"/>
      <c r="AE32" s="146" t="n"/>
      <c r="AF32" s="146" t="n"/>
      <c r="AG32" s="202">
        <f>SUM(B32:AF32)</f>
        <v/>
      </c>
    </row>
    <row r="33">
      <c r="A33" s="9" t="inlineStr">
        <is>
          <t>국민건강보험</t>
        </is>
      </c>
      <c r="B33" s="144" t="n"/>
      <c r="C33" s="145" t="n"/>
      <c r="D33" s="145" t="n"/>
      <c r="E33" s="145" t="n"/>
      <c r="F33" s="145" t="n"/>
      <c r="G33" s="145" t="n"/>
      <c r="H33" s="145" t="n"/>
      <c r="I33" s="145" t="n"/>
      <c r="J33" s="145" t="n"/>
      <c r="K33" s="145" t="n">
        <v>1119740</v>
      </c>
      <c r="L33" s="145" t="n"/>
      <c r="M33" s="145" t="n"/>
      <c r="N33" s="145" t="n"/>
      <c r="O33" s="145" t="n"/>
      <c r="P33" s="145" t="n"/>
      <c r="Q33" s="145" t="n"/>
      <c r="R33" s="145" t="n"/>
      <c r="S33" s="145" t="n"/>
      <c r="T33" s="145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6" t="n"/>
      <c r="AF33" s="146" t="n"/>
      <c r="AG33" s="202">
        <f>SUM(B33:AF33)</f>
        <v/>
      </c>
    </row>
    <row r="34">
      <c r="A34" s="9" t="inlineStr">
        <is>
          <t>국민연금</t>
        </is>
      </c>
      <c r="B34" s="144" t="n"/>
      <c r="C34" s="145" t="n"/>
      <c r="D34" s="145" t="n"/>
      <c r="E34" s="145" t="n"/>
      <c r="F34" s="145" t="n"/>
      <c r="G34" s="145" t="n"/>
      <c r="H34" s="145" t="n"/>
      <c r="I34" s="145" t="n"/>
      <c r="J34" s="145" t="n"/>
      <c r="K34" s="145" t="n">
        <v>531000</v>
      </c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145" t="n"/>
      <c r="AE34" s="146" t="n"/>
      <c r="AF34" s="146" t="n"/>
      <c r="AG34" s="202">
        <f>SUM(B34:AF34)</f>
        <v/>
      </c>
    </row>
    <row r="35">
      <c r="A35" s="9" t="inlineStr">
        <is>
          <t>고용보험</t>
        </is>
      </c>
      <c r="B35" s="144" t="n"/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>
        <v>11700</v>
      </c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6" t="n"/>
      <c r="AF35" s="146" t="n"/>
      <c r="AG35" s="202">
        <f>SUM(B35:AF35)</f>
        <v/>
      </c>
    </row>
    <row r="36">
      <c r="A36" s="9" t="inlineStr">
        <is>
          <t xml:space="preserve">산재보험 </t>
        </is>
      </c>
      <c r="B36" s="144" t="n"/>
      <c r="C36" s="145" t="n"/>
      <c r="D36" s="145" t="n"/>
      <c r="E36" s="145" t="n"/>
      <c r="F36" s="145" t="n"/>
      <c r="G36" s="145" t="n"/>
      <c r="H36" s="145" t="n"/>
      <c r="I36" s="145" t="n"/>
      <c r="J36" s="145" t="inlineStr">
        <is>
          <t> </t>
        </is>
      </c>
      <c r="K36" s="145" t="n">
        <v>54030</v>
      </c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6" t="n"/>
      <c r="AF36" s="146" t="n"/>
      <c r="AG36" s="202" t="n"/>
    </row>
    <row r="37">
      <c r="A37" s="9" t="inlineStr">
        <is>
          <t>예스코</t>
        </is>
      </c>
      <c r="B37" s="144" t="n"/>
      <c r="C37" s="145" t="n"/>
      <c r="D37" s="145" t="n"/>
      <c r="E37" s="145" t="n"/>
      <c r="F37" s="145" t="n"/>
      <c r="G37" s="145" t="n"/>
      <c r="H37" s="145" t="n"/>
      <c r="I37" s="145" t="n"/>
      <c r="J37" s="145" t="n">
        <v>253639</v>
      </c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6" t="n"/>
      <c r="AF37" s="146" t="n"/>
      <c r="AG37" s="202">
        <f>SUM(B37:AF37)</f>
        <v/>
      </c>
    </row>
    <row r="38">
      <c r="A38" s="9" t="inlineStr">
        <is>
          <t>SK인텔릭스</t>
        </is>
      </c>
      <c r="B38" s="144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5" t="n">
        <v>25900</v>
      </c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6" t="n"/>
      <c r="AF38" s="146" t="n"/>
      <c r="AG38" s="202">
        <f>SUM(B38:AF38)</f>
        <v/>
      </c>
    </row>
    <row r="39">
      <c r="A39" s="9" t="inlineStr">
        <is>
          <t>S1(N5851892)</t>
        </is>
      </c>
      <c r="B39" s="144" t="n"/>
      <c r="C39" s="145" t="n"/>
      <c r="D39" s="145" t="n"/>
      <c r="E39" s="145" t="n"/>
      <c r="F39" s="145" t="n">
        <v>44000</v>
      </c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6" t="n"/>
      <c r="AF39" s="146" t="n"/>
      <c r="AG39" s="202">
        <f>SUM(B39:AF39)</f>
        <v/>
      </c>
    </row>
    <row r="40">
      <c r="A40" s="9" t="inlineStr">
        <is>
          <t>한화손해보험</t>
        </is>
      </c>
      <c r="B40" s="144" t="n"/>
      <c r="C40" s="145" t="n"/>
      <c r="D40" s="145" t="n"/>
      <c r="E40" s="145" t="n"/>
      <c r="F40" s="145" t="n">
        <v>30000</v>
      </c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n"/>
      <c r="P40" s="145" t="n"/>
      <c r="Q40" s="145" t="n"/>
      <c r="R40" s="145" t="n"/>
      <c r="S40" s="145" t="n"/>
      <c r="T40" s="145" t="n"/>
      <c r="U40" s="145" t="n"/>
      <c r="V40" s="145" t="n"/>
      <c r="W40" s="145" t="n"/>
      <c r="X40" s="145" t="n"/>
      <c r="Y40" s="145" t="n"/>
      <c r="Z40" s="145" t="n"/>
      <c r="AA40" s="145" t="n"/>
      <c r="AB40" s="145" t="n"/>
      <c r="AC40" s="145" t="n"/>
      <c r="AD40" s="145" t="n"/>
      <c r="AE40" s="146" t="n"/>
      <c r="AF40" s="146" t="n"/>
      <c r="AG40" s="202">
        <f>SUM(B40:AF40)</f>
        <v/>
      </c>
    </row>
    <row r="41">
      <c r="A41" s="9" t="inlineStr">
        <is>
          <t>메리츠화재</t>
        </is>
      </c>
      <c r="B41" s="144" t="n"/>
      <c r="C41" s="145" t="n"/>
      <c r="D41" s="145" t="n"/>
      <c r="E41" s="145" t="n"/>
      <c r="F41" s="145" t="n">
        <v>46190</v>
      </c>
      <c r="G41" s="145" t="n"/>
      <c r="H41" s="145" t="n"/>
      <c r="I41" s="145" t="n"/>
      <c r="J41" s="145" t="n"/>
      <c r="K41" s="145" t="n"/>
      <c r="L41" s="145" t="n"/>
      <c r="M41" s="145" t="n"/>
      <c r="N41" s="145" t="n"/>
      <c r="O41" s="145" t="n"/>
      <c r="P41" s="145" t="n"/>
      <c r="Q41" s="145" t="n"/>
      <c r="R41" s="145" t="n"/>
      <c r="S41" s="145" t="n"/>
      <c r="T41" s="145" t="n"/>
      <c r="U41" s="145" t="n"/>
      <c r="V41" s="145" t="n"/>
      <c r="W41" s="145" t="n"/>
      <c r="X41" s="145" t="n"/>
      <c r="Y41" s="145" t="n"/>
      <c r="Z41" s="145" t="n"/>
      <c r="AA41" s="145" t="n"/>
      <c r="AB41" s="145" t="n"/>
      <c r="AC41" s="145" t="n"/>
      <c r="AD41" s="145" t="n"/>
      <c r="AE41" s="146" t="n"/>
      <c r="AF41" s="146" t="n"/>
      <c r="AG41" s="202">
        <f>SUM(B41:AF41)</f>
        <v/>
      </c>
    </row>
    <row r="42">
      <c r="A42" s="9" t="inlineStr">
        <is>
          <t>KT통신요금</t>
        </is>
      </c>
      <c r="B42" s="144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  <c r="Y42" s="145" t="n"/>
      <c r="Z42" s="145" t="n"/>
      <c r="AA42" s="145" t="n"/>
      <c r="AB42" s="145" t="n"/>
      <c r="AC42" s="145" t="n"/>
      <c r="AD42" s="145" t="n"/>
      <c r="AE42" s="146" t="n"/>
      <c r="AF42" s="146" t="n"/>
      <c r="AG42" s="202">
        <f>SUM(B42:AF42)</f>
        <v/>
      </c>
    </row>
    <row r="43" ht="17.5" customHeight="1" thickBot="1">
      <c r="A43" s="9" t="inlineStr">
        <is>
          <t>CM보험</t>
        </is>
      </c>
      <c r="B43" s="144" t="n"/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n"/>
      <c r="P43" s="145" t="n"/>
      <c r="Q43" s="145" t="n"/>
      <c r="R43" s="145" t="n"/>
      <c r="S43" s="145" t="n"/>
      <c r="T43" s="145" t="n"/>
      <c r="U43" s="145" t="n"/>
      <c r="V43" s="145" t="n"/>
      <c r="W43" s="145" t="n"/>
      <c r="X43" s="145" t="n"/>
      <c r="Y43" s="145" t="n"/>
      <c r="Z43" s="145" t="n"/>
      <c r="AA43" s="145" t="n">
        <v>290050</v>
      </c>
      <c r="AB43" s="145" t="n"/>
      <c r="AC43" s="145" t="n"/>
      <c r="AD43" s="145" t="n"/>
      <c r="AE43" s="146" t="n"/>
      <c r="AF43" s="146" t="n"/>
      <c r="AG43" s="203">
        <f>SUM(B43:AF43)</f>
        <v/>
      </c>
    </row>
    <row r="44" ht="30" customHeight="1" thickBot="1">
      <c r="A44" s="26" t="n"/>
      <c r="B44" s="204">
        <f>SUM(B31:B43)</f>
        <v/>
      </c>
      <c r="C44" s="204">
        <f>SUM(C31:C43)</f>
        <v/>
      </c>
      <c r="D44" s="204">
        <f>SUM(D31:D43)</f>
        <v/>
      </c>
      <c r="E44" s="204">
        <f>SUM(E31:E43)</f>
        <v/>
      </c>
      <c r="F44" s="204">
        <f>SUM(F31:F43)</f>
        <v/>
      </c>
      <c r="G44" s="204">
        <f>SUM(G31:G43)</f>
        <v/>
      </c>
      <c r="H44" s="204">
        <f>SUM(H31:H43)</f>
        <v/>
      </c>
      <c r="I44" s="204">
        <f>SUM(I31:I43)</f>
        <v/>
      </c>
      <c r="J44" s="204">
        <f>SUM(J31:J43)</f>
        <v/>
      </c>
      <c r="K44" s="204">
        <f>SUM(K31:K43)</f>
        <v/>
      </c>
      <c r="L44" s="204">
        <f>SUM(L31:L43)</f>
        <v/>
      </c>
      <c r="M44" s="204">
        <f>SUM(M31:M43)</f>
        <v/>
      </c>
      <c r="N44" s="204">
        <f>SUM(N31:N43)</f>
        <v/>
      </c>
      <c r="O44" s="204">
        <f>SUM(O31:O43)</f>
        <v/>
      </c>
      <c r="P44" s="204">
        <f>SUM(P31:P43)</f>
        <v/>
      </c>
      <c r="Q44" s="204">
        <f>SUM(Q31:Q43)</f>
        <v/>
      </c>
      <c r="R44" s="204">
        <f>SUM(R31:R43)</f>
        <v/>
      </c>
      <c r="S44" s="204">
        <f>SUM(S31:S43)</f>
        <v/>
      </c>
      <c r="T44" s="204">
        <f>SUM(T31:T43)</f>
        <v/>
      </c>
      <c r="U44" s="204">
        <f>SUM(U31:U43)</f>
        <v/>
      </c>
      <c r="V44" s="204">
        <f>SUM(V31:V43)</f>
        <v/>
      </c>
      <c r="W44" s="204">
        <f>SUM(W31:W43)</f>
        <v/>
      </c>
      <c r="X44" s="204">
        <f>SUM(X31:X43)</f>
        <v/>
      </c>
      <c r="Y44" s="204">
        <f>SUM(Y31:Y43)</f>
        <v/>
      </c>
      <c r="Z44" s="204">
        <f>SUM(Z31:Z43)</f>
        <v/>
      </c>
      <c r="AA44" s="204">
        <f>SUM(AA31:AA43)</f>
        <v/>
      </c>
      <c r="AB44" s="204">
        <f>SUM(AB31:AB43)</f>
        <v/>
      </c>
      <c r="AC44" s="204">
        <f>SUM(AC31:AC43)</f>
        <v/>
      </c>
      <c r="AD44" s="204">
        <f>SUM(AD31:AD43)</f>
        <v/>
      </c>
      <c r="AE44" s="204">
        <f>SUM(AE31:AE43)</f>
        <v/>
      </c>
      <c r="AF44" s="204">
        <f>SUM(AF31:AF43)</f>
        <v/>
      </c>
      <c r="AG44" s="205">
        <f>SUM(AG31:AG43)</f>
        <v/>
      </c>
    </row>
    <row r="45">
      <c r="A45" s="9" t="inlineStr">
        <is>
          <t>영존임대료</t>
        </is>
      </c>
      <c r="B45" s="144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5" t="n"/>
      <c r="L45" s="145" t="n"/>
      <c r="M45" s="145" t="n"/>
      <c r="N45" s="145" t="n"/>
      <c r="O45" s="145" t="n"/>
      <c r="P45" s="145" t="n"/>
      <c r="Q45" s="145" t="n"/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  <c r="AA45" s="145" t="n"/>
      <c r="AB45" s="145" t="n"/>
      <c r="AC45" s="145" t="n"/>
      <c r="AD45" s="145" t="n"/>
      <c r="AE45" s="146" t="n"/>
      <c r="AF45" s="146" t="n">
        <v>5533000</v>
      </c>
      <c r="AG45" s="206">
        <f>SUM(B45:AF45)</f>
        <v/>
      </c>
    </row>
    <row r="46">
      <c r="A46" s="9" t="inlineStr">
        <is>
          <t>영존관리비</t>
        </is>
      </c>
      <c r="B46" s="144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6" t="n"/>
      <c r="AF46" s="146" t="n">
        <v>1158910</v>
      </c>
      <c r="AG46" s="202">
        <f>SUM(B46:AF46)</f>
        <v/>
      </c>
    </row>
    <row r="47" ht="29.5" customHeight="1" thickBot="1">
      <c r="A47" s="24" t="n"/>
      <c r="B47" s="207">
        <f>SUM(B45:B46)</f>
        <v/>
      </c>
      <c r="C47" s="207">
        <f>SUM(C45:C46)</f>
        <v/>
      </c>
      <c r="D47" s="207">
        <f>SUM(D45:D46)</f>
        <v/>
      </c>
      <c r="E47" s="207">
        <f>SUM(E45:E46)</f>
        <v/>
      </c>
      <c r="F47" s="207">
        <f>SUM(F45:F46)</f>
        <v/>
      </c>
      <c r="G47" s="207">
        <f>SUM(G45:G46)</f>
        <v/>
      </c>
      <c r="H47" s="207">
        <f>SUM(H45:H46)</f>
        <v/>
      </c>
      <c r="I47" s="207">
        <f>SUM(I45:I46)</f>
        <v/>
      </c>
      <c r="J47" s="207">
        <f>SUM(J45:J46)</f>
        <v/>
      </c>
      <c r="K47" s="207">
        <f>SUM(K45:K46)</f>
        <v/>
      </c>
      <c r="L47" s="207">
        <f>SUM(L45:L46)</f>
        <v/>
      </c>
      <c r="M47" s="207">
        <f>SUM(M45:M46)</f>
        <v/>
      </c>
      <c r="N47" s="207">
        <f>SUM(N45:N46)</f>
        <v/>
      </c>
      <c r="O47" s="207">
        <f>SUM(O45:O46)</f>
        <v/>
      </c>
      <c r="P47" s="207">
        <f>SUM(P45:P46)</f>
        <v/>
      </c>
      <c r="Q47" s="207">
        <f>SUM(Q45:Q46)</f>
        <v/>
      </c>
      <c r="R47" s="207">
        <f>SUM(R45:R46)</f>
        <v/>
      </c>
      <c r="S47" s="207">
        <f>SUM(S45:S46)</f>
        <v/>
      </c>
      <c r="T47" s="207">
        <f>SUM(T45:T46)</f>
        <v/>
      </c>
      <c r="U47" s="207">
        <f>SUM(U45:U46)</f>
        <v/>
      </c>
      <c r="V47" s="207">
        <f>SUM(V45:V46)</f>
        <v/>
      </c>
      <c r="W47" s="207">
        <f>SUM(W45:W46)</f>
        <v/>
      </c>
      <c r="X47" s="207">
        <f>SUM(X45:X46)</f>
        <v/>
      </c>
      <c r="Y47" s="207">
        <f>SUM(Y45:Y46)</f>
        <v/>
      </c>
      <c r="Z47" s="207">
        <f>SUM(Z45:Z46)</f>
        <v/>
      </c>
      <c r="AA47" s="207">
        <f>SUM(AA45:AA46)</f>
        <v/>
      </c>
      <c r="AB47" s="207">
        <f>SUM(AB45:AB46)</f>
        <v/>
      </c>
      <c r="AC47" s="207">
        <f>SUM(AC45:AC46)</f>
        <v/>
      </c>
      <c r="AD47" s="207">
        <f>SUM(AD45:AD46)</f>
        <v/>
      </c>
      <c r="AE47" s="207" t="n"/>
      <c r="AF47" s="207">
        <f>SUM(AF45:AF46)</f>
        <v/>
      </c>
      <c r="AG47" s="208">
        <f>SUM(AG45:AG46)</f>
        <v/>
      </c>
    </row>
    <row r="48">
      <c r="A48" t="inlineStr">
        <is>
          <t>2024-12-01</t>
        </is>
      </c>
      <c r="B48" t="inlineStr">
        <is>
          <t>야채</t>
        </is>
      </c>
      <c r="C48" t="n">
        <v>50000</v>
      </c>
      <c r="D48" t="inlineStr">
        <is>
          <t>식재료</t>
        </is>
      </c>
    </row>
  </sheetData>
  <mergeCells count="1">
    <mergeCell ref="A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Choonwoo Lim</dc:creator>
  <dcterms:created xsi:type="dcterms:W3CDTF">2015-06-05T18:19:34Z</dcterms:created>
  <dcterms:modified xsi:type="dcterms:W3CDTF">2026-01-09T23:00:19Z</dcterms:modified>
  <cp:lastModifiedBy>Choonwoo Lim</cp:lastModifiedBy>
</cp:coreProperties>
</file>